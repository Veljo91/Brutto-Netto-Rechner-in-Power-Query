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Projekt_Brutto-Netto-Rechner (AK-Österreich)\"/>
    </mc:Choice>
  </mc:AlternateContent>
  <xr:revisionPtr revIDLastSave="0" documentId="13_ncr:1_{46701B7B-DA86-4224-90F5-DE188C55EB3B}" xr6:coauthVersionLast="47" xr6:coauthVersionMax="47" xr10:uidLastSave="{00000000-0000-0000-0000-000000000000}"/>
  <bookViews>
    <workbookView xWindow="-120" yWindow="-120" windowWidth="29040" windowHeight="15840" tabRatio="818" xr2:uid="{96294CC8-D384-4C1D-A1F6-1F707FD2F6F1}"/>
  </bookViews>
  <sheets>
    <sheet name="Übersicht" sheetId="14" r:id="rId1"/>
    <sheet name="PDF Lohntabelle &amp; Netto-Check" sheetId="10" state="hidden" r:id="rId2"/>
    <sheet name="10.000" sheetId="4" state="hidden" r:id="rId3"/>
    <sheet name="5.000" sheetId="5" state="hidden" r:id="rId4"/>
    <sheet name="Zusatzinfos" sheetId="11" state="hidden" r:id="rId5"/>
    <sheet name="tbl_LSt_Sonderbezuege" sheetId="13" state="hidden" r:id="rId6"/>
    <sheet name="tbl_EffektivTarifTabelle" sheetId="16" state="hidden" r:id="rId7"/>
  </sheets>
  <definedNames>
    <definedName name="Datenschnitt_Check__Logical">#N/A</definedName>
    <definedName name="Datenschnitt_Check__Numerical">#N/A</definedName>
    <definedName name="ExterneDaten_2" localSheetId="1" hidden="1">'PDF Lohntabelle &amp; Netto-Check'!$B$3:$H$573</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5" l="1"/>
  <c r="D30" i="5"/>
  <c r="C5" i="13"/>
  <c r="C4" i="13"/>
  <c r="C3" i="13"/>
  <c r="B2" i="13"/>
  <c r="H2" i="10"/>
  <c r="G2" i="10"/>
  <c r="D20" i="5"/>
  <c r="D23" i="5" s="1"/>
  <c r="D24" i="5" s="1"/>
  <c r="D26" i="5" s="1"/>
  <c r="F6" i="5"/>
  <c r="D3" i="5"/>
  <c r="D4" i="5" s="1"/>
  <c r="D7" i="5" s="1"/>
  <c r="D21" i="4"/>
  <c r="F6" i="4"/>
  <c r="D3" i="4"/>
  <c r="D4" i="4" s="1"/>
  <c r="B3" i="13" l="1"/>
  <c r="D2" i="13"/>
  <c r="D28" i="5"/>
  <c r="F7" i="5"/>
  <c r="D23" i="4"/>
  <c r="D24" i="4" s="1"/>
  <c r="D26" i="4" s="1"/>
  <c r="D7" i="4"/>
  <c r="F7" i="4" s="1"/>
  <c r="D28" i="4" l="1"/>
  <c r="F28" i="4" s="1"/>
  <c r="D3" i="13"/>
  <c r="B4" i="13"/>
  <c r="F29" i="5"/>
  <c r="D31" i="5"/>
  <c r="D9" i="5"/>
  <c r="D10" i="5" s="1"/>
  <c r="F8" i="5"/>
  <c r="F8" i="4"/>
  <c r="D9" i="4"/>
  <c r="D10" i="4" s="1"/>
  <c r="F29" i="4" l="1"/>
  <c r="D30" i="4"/>
  <c r="D31" i="4" s="1"/>
  <c r="B5" i="13"/>
  <c r="D5" i="13" s="1"/>
  <c r="D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19662E-C67C-4220-9B28-F00E67387233}" keepAlive="1" name="Abfrage - Laufender Bezug" description="Verbindung mit der Abfrage 'Laufender Bezug' in der Arbeitsmappe." type="5" refreshedVersion="0" background="1">
    <dbPr connection="Provider=Microsoft.Mashup.OleDb.1;Data Source=$Workbook$;Location=&quot;Laufender Bezug&quot;;Extended Properties=&quot;&quot;" command="SELECT * FROM [Laufender Bezug]"/>
  </connection>
  <connection id="2" xr16:uid="{371A0D5A-33B6-45FA-984F-0702F3452907}" keepAlive="1" name="Abfrage - Sonstiger Bezug" description="Verbindung mit der Abfrage 'Sonstiger Bezug' in der Arbeitsmappe." type="5" refreshedVersion="8" background="1" saveData="1">
    <dbPr connection="Provider=Microsoft.Mashup.OleDb.1;Data Source=$Workbook$;Location=&quot;Sonstiger Bezug&quot;;Extended Properties=&quot;&quot;" command="SELECT * FROM [Sonstiger Bezug]"/>
  </connection>
  <connection id="3" xr16:uid="{6BEBBEA4-23FD-45A4-B5B6-CB889981E22B}" keepAlive="1" name="Abfrage - tbl_EffektivTarifTabelle" description="Verbindung mit der Abfrage 'tbl_EffektivTarifTabelle' in der Arbeitsmappe." type="5" refreshedVersion="0" background="1">
    <dbPr connection="Provider=Microsoft.Mashup.OleDb.1;Data Source=$Workbook$;Location=tbl_EffektivTarifTabelle;Extended Properties=&quot;&quot;" command="SELECT * FROM [tbl_EffektivTarifTabelle]"/>
  </connection>
  <connection id="4" xr16:uid="{812EBB9E-74B9-484E-8E86-B396E0F4C076}" keepAlive="1" name="Abfrage - tbl_LSt_Sonderbezuege" description="Verbindung mit der Abfrage 'tbl_LSt_Sonderbezuege' in der Arbeitsmappe." type="5" refreshedVersion="8" background="1" saveData="1">
    <dbPr connection="Provider=Microsoft.Mashup.OleDb.1;Data Source=$Workbook$;Location=tbl_LSt_Sonderbezuege;Extended Properties=&quot;&quot;" command="SELECT * FROM [tbl_LSt_Sonderbezuege]"/>
  </connection>
</connections>
</file>

<file path=xl/sharedStrings.xml><?xml version="1.0" encoding="utf-8"?>
<sst xmlns="http://schemas.openxmlformats.org/spreadsheetml/2006/main" count="688" uniqueCount="59">
  <si>
    <t>Stufe</t>
  </si>
  <si>
    <t>Brutto</t>
  </si>
  <si>
    <t>LSt-Bemessungsgrundlage</t>
  </si>
  <si>
    <t>0% LSt.</t>
  </si>
  <si>
    <t>Basis für 6% LSt.</t>
  </si>
  <si>
    <t>6% LSt.</t>
  </si>
  <si>
    <t>Basis für 0% LSt.</t>
  </si>
  <si>
    <t>Netto</t>
  </si>
  <si>
    <t>- LSt. Σ 0% + 6%</t>
  </si>
  <si>
    <t>LSt. Σ 0% + 6%</t>
  </si>
  <si>
    <t>13. Gehalt</t>
  </si>
  <si>
    <t>14. Gehalt</t>
  </si>
  <si>
    <t>SV-Höchstbeitragsgrundlage 2025
für Sonderzahlungen</t>
  </si>
  <si>
    <t>davon SV Basis für 13. Gehalt</t>
  </si>
  <si>
    <t>davon SV Basis für 14. Gehalt</t>
  </si>
  <si>
    <t>SV-Bemessungsgrundlage</t>
  </si>
  <si>
    <t>SV (17,07% von der Bemessungsgrundlage)</t>
  </si>
  <si>
    <t>PDF_Brutto</t>
  </si>
  <si>
    <t>PDF_SV</t>
  </si>
  <si>
    <t>PDF_LSt</t>
  </si>
  <si>
    <t>PDF_Netto</t>
  </si>
  <si>
    <t>Check: Logical</t>
  </si>
  <si>
    <t>Check: Numerical</t>
  </si>
  <si>
    <r>
      <t xml:space="preserve">Lohnsteuer bei Sonderbezügen
</t>
    </r>
    <r>
      <rPr>
        <i/>
        <sz val="11"/>
        <color rgb="FF000000"/>
        <rFont val="Roboto-Bold"/>
      </rPr>
      <t>(Quelle: SWK-Spezial Lohnverrechnung 2025 - Müller | Kocher | Proksch)</t>
    </r>
  </si>
  <si>
    <r>
      <t xml:space="preserve">Arbeitslosenversicherung
</t>
    </r>
    <r>
      <rPr>
        <i/>
        <sz val="11"/>
        <color rgb="FF000000"/>
        <rFont val="Roboto-Bold"/>
      </rPr>
      <t>(Quelle: SWK-Spezial Lohnverrechnung 2025 - Müller | Kocher | Proksch)</t>
    </r>
  </si>
  <si>
    <r>
      <t xml:space="preserve">Beitragssätze 2025
</t>
    </r>
    <r>
      <rPr>
        <i/>
        <sz val="11"/>
        <color rgb="FF000000"/>
        <rFont val="Roboto-Bold"/>
      </rPr>
      <t>(Quelle: https://www.wko.at/entlohnung/beitragswesen-dienstnehmer-2025)</t>
    </r>
  </si>
  <si>
    <r>
      <t xml:space="preserve">Höchstbeitragsgrundlagen 2025
</t>
    </r>
    <r>
      <rPr>
        <i/>
        <sz val="11"/>
        <color rgb="FF000000"/>
        <rFont val="Roboto-Bold"/>
      </rPr>
      <t>(Quelle: https://www.gesundheitskasse.at/cdscontent/?contentid=10007.904906&amp;portal=oegkdgportal)</t>
    </r>
  </si>
  <si>
    <t>Σ LSt. (0% + 6%)</t>
  </si>
  <si>
    <t>Betrag</t>
  </si>
  <si>
    <t>Betrag Kumuliert</t>
  </si>
  <si>
    <t>Betrag VON</t>
  </si>
  <si>
    <t>Betrag BIS</t>
  </si>
  <si>
    <t>Lohnsteuer-Satz</t>
  </si>
  <si>
    <t>Stufe 1</t>
  </si>
  <si>
    <t>Stufe 2</t>
  </si>
  <si>
    <t>Stufe 3</t>
  </si>
  <si>
    <t>Stufe 4</t>
  </si>
  <si>
    <t>Bezeichnung</t>
  </si>
  <si>
    <t>Bezug laufend</t>
  </si>
  <si>
    <t>[1] Brutto</t>
  </si>
  <si>
    <t>[4] Netto</t>
  </si>
  <si>
    <t>13. Bezug (Urlaubszuschuss)</t>
  </si>
  <si>
    <t>14. Bezug (Weihnachtsgeld)</t>
  </si>
  <si>
    <t>Ich verdiene Brutto monatlich</t>
  </si>
  <si>
    <t>Jahresbezug</t>
  </si>
  <si>
    <t>[2] Sozialversicherung</t>
  </si>
  <si>
    <t>[3] Lohnsteuer</t>
  </si>
  <si>
    <t>Monatslohn VON</t>
  </si>
  <si>
    <t>Monatslohn BIS</t>
  </si>
  <si>
    <t>Grenzsteuersatz</t>
  </si>
  <si>
    <t>Abzug</t>
  </si>
  <si>
    <t>Verkehrsabsetzbetrag</t>
  </si>
  <si>
    <t xml:space="preserve"> Stufe 0% </t>
  </si>
  <si>
    <t xml:space="preserve"> Stufe 20% </t>
  </si>
  <si>
    <t xml:space="preserve"> Stufe 30% </t>
  </si>
  <si>
    <t xml:space="preserve"> Stufe 40% </t>
  </si>
  <si>
    <t xml:space="preserve"> Stufe 48% </t>
  </si>
  <si>
    <t xml:space="preserve"> Stufe 50% </t>
  </si>
  <si>
    <t xml:space="preserve"> Stufe 55%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</si>
</sst>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font>
      <sz val="11"/>
      <color theme="1"/>
      <name val="Aptos Narrow"/>
      <family val="2"/>
      <scheme val="minor"/>
    </font>
    <font>
      <sz val="11"/>
      <color theme="1"/>
      <name val="Aptos Narrow"/>
      <family val="2"/>
      <scheme val="minor"/>
    </font>
    <font>
      <b/>
      <sz val="11"/>
      <color theme="1"/>
      <name val="Aptos Narrow"/>
      <family val="2"/>
      <scheme val="minor"/>
    </font>
    <font>
      <sz val="11"/>
      <color theme="0" tint="-0.14999847407452621"/>
      <name val="Aptos Narrow"/>
      <family val="2"/>
      <scheme val="minor"/>
    </font>
    <font>
      <b/>
      <sz val="11"/>
      <color theme="0" tint="-0.14999847407452621"/>
      <name val="Aptos Narrow"/>
      <family val="2"/>
      <scheme val="minor"/>
    </font>
    <font>
      <sz val="8"/>
      <name val="Aptos Narrow"/>
      <family val="2"/>
      <scheme val="minor"/>
    </font>
    <font>
      <b/>
      <sz val="11"/>
      <color rgb="FF000000"/>
      <name val="Roboto-Bold"/>
    </font>
    <font>
      <i/>
      <sz val="11"/>
      <color rgb="FF000000"/>
      <name val="Roboto-Bold"/>
    </font>
  </fonts>
  <fills count="5">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theme="3" tint="0.749992370372631"/>
        <bgColor indexed="64"/>
      </patternFill>
    </fill>
  </fills>
  <borders count="8">
    <border>
      <left/>
      <right/>
      <top/>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2"/>
      </top>
      <bottom style="double">
        <color theme="2"/>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0" fillId="2" borderId="0" xfId="0" applyFill="1"/>
    <xf numFmtId="4" fontId="0" fillId="2" borderId="0" xfId="0" applyNumberFormat="1" applyFill="1"/>
    <xf numFmtId="0" fontId="0" fillId="2" borderId="0" xfId="0" quotePrefix="1" applyFill="1"/>
    <xf numFmtId="4" fontId="2" fillId="2" borderId="1" xfId="0" applyNumberFormat="1" applyFont="1" applyFill="1" applyBorder="1"/>
    <xf numFmtId="4" fontId="2" fillId="2" borderId="0" xfId="0" applyNumberFormat="1" applyFont="1" applyFill="1"/>
    <xf numFmtId="9" fontId="0" fillId="2" borderId="0" xfId="0" applyNumberFormat="1" applyFill="1"/>
    <xf numFmtId="0" fontId="3" fillId="2" borderId="0" xfId="0" applyFont="1" applyFill="1"/>
    <xf numFmtId="4" fontId="3" fillId="2" borderId="0" xfId="0" applyNumberFormat="1" applyFont="1" applyFill="1"/>
    <xf numFmtId="9" fontId="3" fillId="2" borderId="0" xfId="0" applyNumberFormat="1" applyFont="1" applyFill="1"/>
    <xf numFmtId="0" fontId="0" fillId="2" borderId="0" xfId="0" applyFill="1" applyAlignment="1">
      <alignment vertical="center" wrapText="1"/>
    </xf>
    <xf numFmtId="0" fontId="0" fillId="2" borderId="0" xfId="0" applyFill="1" applyAlignment="1">
      <alignment vertical="center"/>
    </xf>
    <xf numFmtId="4" fontId="0" fillId="2" borderId="0" xfId="0" applyNumberFormat="1" applyFill="1" applyAlignment="1">
      <alignment vertical="center"/>
    </xf>
    <xf numFmtId="4" fontId="4" fillId="2" borderId="5" xfId="0" applyNumberFormat="1" applyFont="1" applyFill="1" applyBorder="1"/>
    <xf numFmtId="0" fontId="4" fillId="2" borderId="5" xfId="0" applyFont="1" applyFill="1" applyBorder="1"/>
    <xf numFmtId="10" fontId="3" fillId="2" borderId="0" xfId="1" applyNumberFormat="1" applyFont="1" applyFill="1"/>
    <xf numFmtId="10" fontId="3" fillId="2" borderId="0" xfId="0" applyNumberFormat="1" applyFont="1" applyFill="1"/>
    <xf numFmtId="0" fontId="0" fillId="2" borderId="0" xfId="0" applyFill="1" applyAlignment="1">
      <alignment horizontal="left" indent="1"/>
    </xf>
    <xf numFmtId="0" fontId="0" fillId="2" borderId="6" xfId="0" applyFill="1" applyBorder="1"/>
    <xf numFmtId="4" fontId="0" fillId="2" borderId="6" xfId="0" applyNumberFormat="1" applyFill="1" applyBorder="1"/>
    <xf numFmtId="4" fontId="2" fillId="2" borderId="6" xfId="0" applyNumberFormat="1" applyFont="1" applyFill="1" applyBorder="1"/>
    <xf numFmtId="0" fontId="2" fillId="2" borderId="0" xfId="0" applyFont="1" applyFill="1" applyAlignment="1">
      <alignment horizontal="center"/>
    </xf>
    <xf numFmtId="4" fontId="0" fillId="3" borderId="0" xfId="0" applyNumberFormat="1" applyFill="1"/>
    <xf numFmtId="4" fontId="0" fillId="4" borderId="0" xfId="0" applyNumberFormat="1" applyFill="1"/>
    <xf numFmtId="0" fontId="6" fillId="2" borderId="7" xfId="0" applyFont="1" applyFill="1" applyBorder="1" applyAlignment="1">
      <alignment wrapText="1"/>
    </xf>
    <xf numFmtId="164" fontId="0" fillId="0" borderId="0" xfId="0" applyNumberFormat="1"/>
    <xf numFmtId="4" fontId="0" fillId="0" borderId="0" xfId="0" applyNumberFormat="1"/>
    <xf numFmtId="0" fontId="2" fillId="2" borderId="6" xfId="0" applyFont="1" applyFill="1" applyBorder="1"/>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cellXfs>
  <cellStyles count="2">
    <cellStyle name="Prozent" xfId="1" builtinId="5"/>
    <cellStyle name="Standard" xfId="0" builtinId="0"/>
  </cellStyles>
  <dxfs count="28">
    <dxf>
      <numFmt numFmtId="4" formatCode="#,##0.00"/>
    </dxf>
    <dxf>
      <numFmt numFmtId="4" formatCode="#,##0.00"/>
    </dxf>
    <dxf>
      <numFmt numFmtId="4" formatCode="#,##0.00"/>
    </dxf>
    <dxf>
      <numFmt numFmtId="164" formatCode="0.0000"/>
    </dxf>
    <dxf>
      <numFmt numFmtId="4" formatCode="#,##0.00"/>
      <fill>
        <patternFill patternType="solid">
          <fgColor indexed="64"/>
          <bgColor theme="0"/>
        </patternFill>
      </fill>
    </dxf>
    <dxf>
      <numFmt numFmtId="4" formatCode="#,##0.00"/>
      <fill>
        <patternFill patternType="solid">
          <fgColor indexed="64"/>
          <bgColor theme="0"/>
        </patternFill>
      </fill>
    </dxf>
    <dxf>
      <numFmt numFmtId="4" formatCode="#,##0.00"/>
      <fill>
        <patternFill patternType="solid">
          <fgColor indexed="64"/>
          <bgColor theme="3" tint="0.749992370372631"/>
        </patternFill>
      </fill>
    </dxf>
    <dxf>
      <numFmt numFmtId="4" formatCode="#,##0.00"/>
      <fill>
        <patternFill patternType="solid">
          <fgColor indexed="64"/>
          <bgColor theme="3" tint="0.89999084444715716"/>
        </patternFill>
      </fill>
    </dxf>
    <dxf>
      <numFmt numFmtId="4" formatCode="#,##0.00"/>
      <fill>
        <patternFill patternType="solid">
          <fgColor indexed="64"/>
          <bgColor theme="3" tint="0.89999084444715716"/>
        </patternFill>
      </fill>
    </dxf>
    <dxf>
      <numFmt numFmtId="4" formatCode="#,##0.00"/>
      <fill>
        <patternFill patternType="solid">
          <fgColor indexed="64"/>
          <bgColor theme="3" tint="0.89999084444715716"/>
        </patternFill>
      </fill>
    </dxf>
    <dxf>
      <numFmt numFmtId="4" formatCode="#,##0.00"/>
      <fill>
        <patternFill patternType="solid">
          <fgColor indexed="64"/>
          <bgColor theme="3" tint="0.89999084444715716"/>
        </patternFill>
      </fill>
    </dxf>
    <dxf>
      <numFmt numFmtId="4" formatCode="#,##0.00"/>
      <fill>
        <patternFill>
          <fgColor indexed="64"/>
          <bgColor theme="0"/>
        </patternFill>
      </fill>
    </dxf>
    <dxf>
      <border>
        <bottom style="thin">
          <color indexed="64"/>
        </bottom>
      </border>
    </dxf>
    <dxf>
      <font>
        <b/>
      </font>
      <numFmt numFmtId="4" formatCode="#,##0.00"/>
      <fill>
        <patternFill>
          <fgColor indexed="64"/>
          <bgColor theme="0"/>
        </patternFill>
      </fill>
    </dxf>
    <dxf>
      <numFmt numFmtId="4" formatCode="#,##0.00"/>
    </dxf>
    <dxf>
      <numFmt numFmtId="4" formatCode="#,##0.00"/>
      <fill>
        <patternFill patternType="solid">
          <fgColor indexed="64"/>
          <bgColor theme="0"/>
        </patternFill>
      </fill>
    </dxf>
    <dxf>
      <numFmt numFmtId="4" formatCode="#,##0.00"/>
    </dxf>
    <dxf>
      <numFmt numFmtId="4" formatCode="#,##0.00"/>
      <fill>
        <patternFill patternType="solid">
          <fgColor indexed="64"/>
          <bgColor theme="0"/>
        </patternFill>
      </fill>
    </dxf>
    <dxf>
      <numFmt numFmtId="4" formatCode="#,##0.00"/>
    </dxf>
    <dxf>
      <numFmt numFmtId="4" formatCode="#,##0.00"/>
      <fill>
        <patternFill patternType="solid">
          <fgColor indexed="64"/>
          <bgColor theme="0"/>
        </patternFill>
      </fill>
    </dxf>
    <dxf>
      <numFmt numFmtId="4" formatCode="#,##0.00"/>
    </dxf>
    <dxf>
      <numFmt numFmtId="4" formatCode="#,##0.00"/>
      <fill>
        <patternFill patternType="solid">
          <fgColor indexed="64"/>
          <bgColor theme="0"/>
        </patternFill>
      </fill>
    </dxf>
    <dxf>
      <numFmt numFmtId="0" formatCode="General"/>
    </dxf>
    <dxf>
      <numFmt numFmtId="0" formatCode="General"/>
      <fill>
        <patternFill patternType="solid">
          <fgColor indexed="64"/>
          <bgColor theme="0"/>
        </patternFill>
      </fill>
    </dxf>
    <dxf>
      <numFmt numFmtId="4" formatCode="#,##0.00"/>
      <fill>
        <patternFill patternType="solid">
          <fgColor indexed="64"/>
          <bgColor theme="0"/>
        </patternFill>
      </fill>
    </dxf>
    <dxf>
      <fill>
        <patternFill patternType="solid">
          <fgColor indexed="64"/>
          <bgColor theme="0"/>
        </patternFill>
      </fill>
    </dxf>
    <dxf>
      <border>
        <bottom style="thin">
          <color indexed="64"/>
        </bottom>
      </border>
    </dxf>
    <dxf>
      <font>
        <b/>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absolute">
    <xdr:from>
      <xdr:col>3</xdr:col>
      <xdr:colOff>695325</xdr:colOff>
      <xdr:row>0</xdr:row>
      <xdr:rowOff>114300</xdr:rowOff>
    </xdr:from>
    <xdr:to>
      <xdr:col>6</xdr:col>
      <xdr:colOff>400050</xdr:colOff>
      <xdr:row>0</xdr:row>
      <xdr:rowOff>942975</xdr:rowOff>
    </xdr:to>
    <mc:AlternateContent xmlns:mc="http://schemas.openxmlformats.org/markup-compatibility/2006" xmlns:sle15="http://schemas.microsoft.com/office/drawing/2012/slicer">
      <mc:Choice Requires="sle15">
        <xdr:graphicFrame macro="">
          <xdr:nvGraphicFramePr>
            <xdr:cNvPr id="2" name="Check: Logical">
              <a:extLst>
                <a:ext uri="{FF2B5EF4-FFF2-40B4-BE49-F238E27FC236}">
                  <a16:creationId xmlns:a16="http://schemas.microsoft.com/office/drawing/2014/main" id="{FF244C7E-1C31-4A56-8E9E-626DD0D1D97B}"/>
                </a:ext>
              </a:extLst>
            </xdr:cNvPr>
            <xdr:cNvGraphicFramePr/>
          </xdr:nvGraphicFramePr>
          <xdr:xfrm>
            <a:off x="0" y="0"/>
            <a:ext cx="0" cy="0"/>
          </xdr:xfrm>
          <a:graphic>
            <a:graphicData uri="http://schemas.microsoft.com/office/drawing/2010/slicer">
              <sle:slicer xmlns:sle="http://schemas.microsoft.com/office/drawing/2010/slicer" name="Check: Logical"/>
            </a:graphicData>
          </a:graphic>
        </xdr:graphicFrame>
      </mc:Choice>
      <mc:Fallback xmlns="">
        <xdr:sp macro="" textlink="">
          <xdr:nvSpPr>
            <xdr:cNvPr id="0" name=""/>
            <xdr:cNvSpPr>
              <a:spLocks noTextEdit="1"/>
            </xdr:cNvSpPr>
          </xdr:nvSpPr>
          <xdr:spPr>
            <a:xfrm>
              <a:off x="3009900" y="114300"/>
              <a:ext cx="1828800" cy="1019175"/>
            </a:xfrm>
            <a:prstGeom prst="rect">
              <a:avLst/>
            </a:prstGeom>
            <a:solidFill>
              <a:prstClr val="white"/>
            </a:solidFill>
            <a:ln w="1">
              <a:solidFill>
                <a:prstClr val="green"/>
              </a:solidFill>
            </a:ln>
          </xdr:spPr>
          <xdr:txBody>
            <a:bodyPr vertOverflow="clip" horzOverflow="clip"/>
            <a:lstStyle/>
            <a:p>
              <a:r>
                <a:rPr lang="de-AT"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6</xdr:col>
      <xdr:colOff>476250</xdr:colOff>
      <xdr:row>0</xdr:row>
      <xdr:rowOff>114300</xdr:rowOff>
    </xdr:from>
    <xdr:to>
      <xdr:col>7</xdr:col>
      <xdr:colOff>1219200</xdr:colOff>
      <xdr:row>0</xdr:row>
      <xdr:rowOff>1381125</xdr:rowOff>
    </xdr:to>
    <mc:AlternateContent xmlns:mc="http://schemas.openxmlformats.org/markup-compatibility/2006" xmlns:sle15="http://schemas.microsoft.com/office/drawing/2012/slicer">
      <mc:Choice Requires="sle15">
        <xdr:graphicFrame macro="">
          <xdr:nvGraphicFramePr>
            <xdr:cNvPr id="3" name="Check: Numerical">
              <a:extLst>
                <a:ext uri="{FF2B5EF4-FFF2-40B4-BE49-F238E27FC236}">
                  <a16:creationId xmlns:a16="http://schemas.microsoft.com/office/drawing/2014/main" id="{12C624E8-2BC2-7884-A267-DBE49B79FF22}"/>
                </a:ext>
              </a:extLst>
            </xdr:cNvPr>
            <xdr:cNvGraphicFramePr/>
          </xdr:nvGraphicFramePr>
          <xdr:xfrm>
            <a:off x="0" y="0"/>
            <a:ext cx="0" cy="0"/>
          </xdr:xfrm>
          <a:graphic>
            <a:graphicData uri="http://schemas.microsoft.com/office/drawing/2010/slicer">
              <sle:slicer xmlns:sle="http://schemas.microsoft.com/office/drawing/2010/slicer" name="Check: Numerical"/>
            </a:graphicData>
          </a:graphic>
        </xdr:graphicFrame>
      </mc:Choice>
      <mc:Fallback xmlns="">
        <xdr:sp macro="" textlink="">
          <xdr:nvSpPr>
            <xdr:cNvPr id="0" name=""/>
            <xdr:cNvSpPr>
              <a:spLocks noTextEdit="1"/>
            </xdr:cNvSpPr>
          </xdr:nvSpPr>
          <xdr:spPr>
            <a:xfrm>
              <a:off x="4914900" y="114300"/>
              <a:ext cx="1828800" cy="1266825"/>
            </a:xfrm>
            <a:prstGeom prst="rect">
              <a:avLst/>
            </a:prstGeom>
            <a:solidFill>
              <a:prstClr val="white"/>
            </a:solidFill>
            <a:ln w="1">
              <a:solidFill>
                <a:prstClr val="green"/>
              </a:solidFill>
            </a:ln>
          </xdr:spPr>
          <xdr:txBody>
            <a:bodyPr vertOverflow="clip" horzOverflow="clip"/>
            <a:lstStyle/>
            <a:p>
              <a:r>
                <a:rPr lang="de-AT"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28575</xdr:colOff>
      <xdr:row>0</xdr:row>
      <xdr:rowOff>0</xdr:rowOff>
    </xdr:from>
    <xdr:to>
      <xdr:col>14</xdr:col>
      <xdr:colOff>495300</xdr:colOff>
      <xdr:row>18</xdr:row>
      <xdr:rowOff>88425</xdr:rowOff>
    </xdr:to>
    <xdr:pic>
      <xdr:nvPicPr>
        <xdr:cNvPr id="3" name="Grafik 2">
          <a:extLst>
            <a:ext uri="{FF2B5EF4-FFF2-40B4-BE49-F238E27FC236}">
              <a16:creationId xmlns:a16="http://schemas.microsoft.com/office/drawing/2014/main" id="{8CDC8355-F3E0-79AF-1C22-1DAD060C2FB8}"/>
            </a:ext>
          </a:extLst>
        </xdr:cNvPr>
        <xdr:cNvPicPr>
          <a:picLocks noChangeAspect="1"/>
        </xdr:cNvPicPr>
      </xdr:nvPicPr>
      <xdr:blipFill>
        <a:blip xmlns:r="http://schemas.openxmlformats.org/officeDocument/2006/relationships" r:embed="rId1"/>
        <a:stretch>
          <a:fillRect/>
        </a:stretch>
      </xdr:blipFill>
      <xdr:spPr>
        <a:xfrm>
          <a:off x="7639050" y="0"/>
          <a:ext cx="5038725" cy="36031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9525</xdr:colOff>
      <xdr:row>0</xdr:row>
      <xdr:rowOff>0</xdr:rowOff>
    </xdr:from>
    <xdr:to>
      <xdr:col>14</xdr:col>
      <xdr:colOff>466725</xdr:colOff>
      <xdr:row>17</xdr:row>
      <xdr:rowOff>173887</xdr:rowOff>
    </xdr:to>
    <xdr:pic>
      <xdr:nvPicPr>
        <xdr:cNvPr id="5" name="Grafik 4">
          <a:extLst>
            <a:ext uri="{FF2B5EF4-FFF2-40B4-BE49-F238E27FC236}">
              <a16:creationId xmlns:a16="http://schemas.microsoft.com/office/drawing/2014/main" id="{D8884AEC-F625-9D6A-FC75-99D0385C09D8}"/>
            </a:ext>
          </a:extLst>
        </xdr:cNvPr>
        <xdr:cNvPicPr>
          <a:picLocks noChangeAspect="1"/>
        </xdr:cNvPicPr>
      </xdr:nvPicPr>
      <xdr:blipFill rotWithShape="1">
        <a:blip xmlns:r="http://schemas.openxmlformats.org/officeDocument/2006/relationships" r:embed="rId1"/>
        <a:srcRect t="6110" b="13490"/>
        <a:stretch>
          <a:fillRect/>
        </a:stretch>
      </xdr:blipFill>
      <xdr:spPr>
        <a:xfrm>
          <a:off x="7524750" y="0"/>
          <a:ext cx="5029200" cy="34981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9525</xdr:colOff>
      <xdr:row>2</xdr:row>
      <xdr:rowOff>57150</xdr:rowOff>
    </xdr:from>
    <xdr:ext cx="4172532" cy="1209844"/>
    <xdr:pic>
      <xdr:nvPicPr>
        <xdr:cNvPr id="2" name="Grafik 1">
          <a:extLst>
            <a:ext uri="{FF2B5EF4-FFF2-40B4-BE49-F238E27FC236}">
              <a16:creationId xmlns:a16="http://schemas.microsoft.com/office/drawing/2014/main" id="{B99D1455-6068-4037-B999-2E272E62D1C0}"/>
            </a:ext>
          </a:extLst>
        </xdr:cNvPr>
        <xdr:cNvPicPr>
          <a:picLocks noChangeAspect="1"/>
        </xdr:cNvPicPr>
      </xdr:nvPicPr>
      <xdr:blipFill>
        <a:blip xmlns:r="http://schemas.openxmlformats.org/officeDocument/2006/relationships" r:embed="rId1"/>
        <a:stretch>
          <a:fillRect/>
        </a:stretch>
      </xdr:blipFill>
      <xdr:spPr>
        <a:xfrm>
          <a:off x="1533525" y="1028700"/>
          <a:ext cx="4172532" cy="1209844"/>
        </a:xfrm>
        <a:prstGeom prst="rect">
          <a:avLst/>
        </a:prstGeom>
        <a:ln>
          <a:solidFill>
            <a:sysClr val="windowText" lastClr="000000"/>
          </a:solidFill>
        </a:ln>
      </xdr:spPr>
    </xdr:pic>
    <xdr:clientData/>
  </xdr:oneCellAnchor>
  <xdr:oneCellAnchor>
    <xdr:from>
      <xdr:col>2</xdr:col>
      <xdr:colOff>0</xdr:colOff>
      <xdr:row>11</xdr:row>
      <xdr:rowOff>70594</xdr:rowOff>
    </xdr:from>
    <xdr:ext cx="4160546" cy="1624856"/>
    <xdr:pic>
      <xdr:nvPicPr>
        <xdr:cNvPr id="3" name="Grafik 2">
          <a:extLst>
            <a:ext uri="{FF2B5EF4-FFF2-40B4-BE49-F238E27FC236}">
              <a16:creationId xmlns:a16="http://schemas.microsoft.com/office/drawing/2014/main" id="{6B64C929-CCAD-445E-A666-0C25806F5BF2}"/>
            </a:ext>
          </a:extLst>
        </xdr:cNvPr>
        <xdr:cNvPicPr>
          <a:picLocks noChangeAspect="1"/>
        </xdr:cNvPicPr>
      </xdr:nvPicPr>
      <xdr:blipFill>
        <a:blip xmlns:r="http://schemas.openxmlformats.org/officeDocument/2006/relationships" r:embed="rId2"/>
        <a:stretch>
          <a:fillRect/>
        </a:stretch>
      </xdr:blipFill>
      <xdr:spPr>
        <a:xfrm>
          <a:off x="1524000" y="2966194"/>
          <a:ext cx="4160546" cy="1624856"/>
        </a:xfrm>
        <a:prstGeom prst="rect">
          <a:avLst/>
        </a:prstGeom>
        <a:ln>
          <a:solidFill>
            <a:sysClr val="windowText" lastClr="000000"/>
          </a:solidFill>
        </a:ln>
      </xdr:spPr>
    </xdr:pic>
    <xdr:clientData/>
  </xdr:oneCellAnchor>
  <xdr:twoCellAnchor editAs="oneCell">
    <xdr:from>
      <xdr:col>2</xdr:col>
      <xdr:colOff>1</xdr:colOff>
      <xdr:row>22</xdr:row>
      <xdr:rowOff>79237</xdr:rowOff>
    </xdr:from>
    <xdr:to>
      <xdr:col>2</xdr:col>
      <xdr:colOff>4914901</xdr:colOff>
      <xdr:row>41</xdr:row>
      <xdr:rowOff>19923</xdr:rowOff>
    </xdr:to>
    <xdr:pic>
      <xdr:nvPicPr>
        <xdr:cNvPr id="5" name="Grafik 4">
          <a:extLst>
            <a:ext uri="{FF2B5EF4-FFF2-40B4-BE49-F238E27FC236}">
              <a16:creationId xmlns:a16="http://schemas.microsoft.com/office/drawing/2014/main" id="{9B1265B3-808F-6ECE-16DF-343B3FCF5D3B}"/>
            </a:ext>
          </a:extLst>
        </xdr:cNvPr>
        <xdr:cNvPicPr>
          <a:picLocks noChangeAspect="1"/>
        </xdr:cNvPicPr>
      </xdr:nvPicPr>
      <xdr:blipFill>
        <a:blip xmlns:r="http://schemas.openxmlformats.org/officeDocument/2006/relationships" r:embed="rId3"/>
        <a:stretch>
          <a:fillRect/>
        </a:stretch>
      </xdr:blipFill>
      <xdr:spPr>
        <a:xfrm>
          <a:off x="1524001" y="5279887"/>
          <a:ext cx="4914900" cy="3560186"/>
        </a:xfrm>
        <a:prstGeom prst="rect">
          <a:avLst/>
        </a:prstGeom>
        <a:ln>
          <a:solidFill>
            <a:sysClr val="windowText" lastClr="000000"/>
          </a:solidFill>
        </a:ln>
      </xdr:spPr>
    </xdr:pic>
    <xdr:clientData/>
  </xdr:twoCellAnchor>
  <xdr:twoCellAnchor editAs="oneCell">
    <xdr:from>
      <xdr:col>2</xdr:col>
      <xdr:colOff>9525</xdr:colOff>
      <xdr:row>43</xdr:row>
      <xdr:rowOff>95250</xdr:rowOff>
    </xdr:from>
    <xdr:to>
      <xdr:col>2</xdr:col>
      <xdr:colOff>5581650</xdr:colOff>
      <xdr:row>74</xdr:row>
      <xdr:rowOff>161747</xdr:rowOff>
    </xdr:to>
    <xdr:pic>
      <xdr:nvPicPr>
        <xdr:cNvPr id="6" name="Grafik 5">
          <a:extLst>
            <a:ext uri="{FF2B5EF4-FFF2-40B4-BE49-F238E27FC236}">
              <a16:creationId xmlns:a16="http://schemas.microsoft.com/office/drawing/2014/main" id="{B549E4AE-1EB6-42E1-95DB-073F95AB9DA8}"/>
            </a:ext>
          </a:extLst>
        </xdr:cNvPr>
        <xdr:cNvPicPr>
          <a:picLocks noChangeAspect="1"/>
        </xdr:cNvPicPr>
      </xdr:nvPicPr>
      <xdr:blipFill>
        <a:blip xmlns:r="http://schemas.openxmlformats.org/officeDocument/2006/relationships" r:embed="rId4"/>
        <a:stretch>
          <a:fillRect/>
        </a:stretch>
      </xdr:blipFill>
      <xdr:spPr>
        <a:xfrm>
          <a:off x="1533525" y="9505950"/>
          <a:ext cx="5572125" cy="5971997"/>
        </a:xfrm>
        <a:prstGeom prst="rect">
          <a:avLst/>
        </a:prstGeom>
        <a:ln>
          <a:solidFill>
            <a:sysClr val="windowText" lastClr="000000"/>
          </a:solidFill>
        </a:ln>
      </xdr:spPr>
    </xdr:pic>
    <xdr:clientData/>
  </xdr:twoCellAnchor>
  <xdr:twoCellAnchor editAs="oneCell">
    <xdr:from>
      <xdr:col>2</xdr:col>
      <xdr:colOff>95250</xdr:colOff>
      <xdr:row>76</xdr:row>
      <xdr:rowOff>171450</xdr:rowOff>
    </xdr:from>
    <xdr:to>
      <xdr:col>2</xdr:col>
      <xdr:colOff>6353176</xdr:colOff>
      <xdr:row>99</xdr:row>
      <xdr:rowOff>66675</xdr:rowOff>
    </xdr:to>
    <xdr:pic>
      <xdr:nvPicPr>
        <xdr:cNvPr id="4" name="Grafik 3">
          <a:extLst>
            <a:ext uri="{FF2B5EF4-FFF2-40B4-BE49-F238E27FC236}">
              <a16:creationId xmlns:a16="http://schemas.microsoft.com/office/drawing/2014/main" id="{8796AD46-02C0-3534-E170-5ACD68D274A9}"/>
            </a:ext>
          </a:extLst>
        </xdr:cNvPr>
        <xdr:cNvPicPr>
          <a:picLocks noChangeAspect="1"/>
        </xdr:cNvPicPr>
      </xdr:nvPicPr>
      <xdr:blipFill rotWithShape="1">
        <a:blip xmlns:r="http://schemas.openxmlformats.org/officeDocument/2006/relationships" r:embed="rId5"/>
        <a:srcRect l="1043" r="1057" b="2405"/>
        <a:stretch>
          <a:fillRect/>
        </a:stretch>
      </xdr:blipFill>
      <xdr:spPr>
        <a:xfrm>
          <a:off x="1619250" y="15487650"/>
          <a:ext cx="6257926" cy="4276725"/>
        </a:xfrm>
        <a:prstGeom prst="rect">
          <a:avLst/>
        </a:prstGeom>
      </xdr:spPr>
    </xdr:pic>
    <xdr:clientData/>
  </xdr:twoCellAnchor>
  <xdr:twoCellAnchor editAs="oneCell">
    <xdr:from>
      <xdr:col>3</xdr:col>
      <xdr:colOff>28575</xdr:colOff>
      <xdr:row>77</xdr:row>
      <xdr:rowOff>19050</xdr:rowOff>
    </xdr:from>
    <xdr:to>
      <xdr:col>10</xdr:col>
      <xdr:colOff>705727</xdr:colOff>
      <xdr:row>98</xdr:row>
      <xdr:rowOff>172030</xdr:rowOff>
    </xdr:to>
    <xdr:pic>
      <xdr:nvPicPr>
        <xdr:cNvPr id="7" name="Grafik 6">
          <a:extLst>
            <a:ext uri="{FF2B5EF4-FFF2-40B4-BE49-F238E27FC236}">
              <a16:creationId xmlns:a16="http://schemas.microsoft.com/office/drawing/2014/main" id="{81A9D5E1-D682-714F-173E-872628FA450A}"/>
            </a:ext>
          </a:extLst>
        </xdr:cNvPr>
        <xdr:cNvPicPr>
          <a:picLocks noChangeAspect="1"/>
        </xdr:cNvPicPr>
      </xdr:nvPicPr>
      <xdr:blipFill>
        <a:blip xmlns:r="http://schemas.openxmlformats.org/officeDocument/2006/relationships" r:embed="rId6"/>
        <a:stretch>
          <a:fillRect/>
        </a:stretch>
      </xdr:blipFill>
      <xdr:spPr>
        <a:xfrm>
          <a:off x="8048625" y="15525750"/>
          <a:ext cx="6287377" cy="415348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2" connectionId="6" xr16:uid="{8BCFB789-B08F-4B88-AE57-009716CD212F}" autoFormatId="16" applyNumberFormats="0" applyBorderFormats="0" applyFontFormats="0" applyPatternFormats="0" applyAlignmentFormats="0" applyWidthHeightFormats="0">
  <queryTableRefresh nextId="11">
    <queryTableFields count="6">
      <queryTableField id="5" name="Ich verdiene Brutto monatlich" tableColumnId="1"/>
      <queryTableField id="3" name="Bezeichnung" tableColumnId="3"/>
      <queryTableField id="6" name="Bezug laufend" tableColumnId="2"/>
      <queryTableField id="7" name="13. Bezug (Urlaubszuschuss)" tableColumnId="4"/>
      <queryTableField id="8" name="14. Bezug (Weihnachtsgeld)" tableColumnId="5"/>
      <queryTableField id="9" name="Jahresbezug"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heck__Logical" xr10:uid="{A95AB5FA-35D6-496D-94E1-B527CEE45D07}" sourceName="Check: Logical">
  <extLst>
    <x:ext xmlns:x15="http://schemas.microsoft.com/office/spreadsheetml/2010/11/main" uri="{2F2917AC-EB37-4324-AD4E-5DD8C200BD13}">
      <x15:tableSlicerCache tableId="1" column="1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heck__Numerical" xr10:uid="{E027119C-7816-48CB-94B4-2F82331CAB39}" sourceName="Check: Numerical">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eck: Logical" xr10:uid="{576F51FA-E890-40F1-96EB-FB98910B80EA}" cache="Datenschnitt_Check__Logical" caption="Check: Logical" columnCount="2" rowHeight="257175"/>
  <slicer name="Check: Numerical" xr10:uid="{8E3184CA-F954-49DC-A43A-ACA7BE48BE45}" cache="Datenschnitt_Check__Numerical" caption="Check: Numerical"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2A31B56-6E60-4A1E-8E12-C9AAD706F24B}" name="Übersicht" displayName="Übersicht" ref="A2:F602" tableType="queryTable" totalsRowShown="0" headerRowDxfId="27" dataDxfId="25" headerRowBorderDxfId="26">
  <autoFilter ref="A2:F602" xr:uid="{A2A31B56-6E60-4A1E-8E12-C9AAD706F24B}">
    <filterColumn colId="0">
      <filters>
        <filter val="12.300,00"/>
      </filters>
    </filterColumn>
  </autoFilter>
  <tableColumns count="6">
    <tableColumn id="1" xr3:uid="{48691584-74F7-433A-9F1F-3783EAA49FE3}" uniqueName="1" name="Ich verdiene Brutto monatlich" queryTableFieldId="5" dataDxfId="24"/>
    <tableColumn id="3" xr3:uid="{465E3A53-FD67-4362-8690-4CF76A167C06}" uniqueName="3" name="Bezeichnung" queryTableFieldId="3" dataDxfId="23" totalsRowDxfId="22"/>
    <tableColumn id="2" xr3:uid="{E94E544F-8548-4D2F-AD75-506840AA2AAF}" uniqueName="2" name="Bezug laufend" queryTableFieldId="6" dataDxfId="21" totalsRowDxfId="20"/>
    <tableColumn id="4" xr3:uid="{0248C7E8-140A-453C-986B-4D06DD0A4898}" uniqueName="4" name="13. Bezug (Urlaubszuschuss)" queryTableFieldId="7" dataDxfId="19" totalsRowDxfId="18"/>
    <tableColumn id="5" xr3:uid="{FEA1B9DB-7872-423F-9E13-3DB5B051F20E}" uniqueName="5" name="14. Bezug (Weihnachtsgeld)" queryTableFieldId="8" dataDxfId="17" totalsRowDxfId="16"/>
    <tableColumn id="6" xr3:uid="{F16E4CF0-50C0-4DE0-AC49-181CBBBE6ACF}" uniqueName="6" name="Jahresbezug" queryTableFieldId="9" dataDxfId="15" totalsRowDxfId="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A7E208-D8E9-40B5-BA3C-5C0FB77CA16A}" name="PDF_Lohntabelle___Netto_Check" displayName="PDF_Lohntabelle___Netto_Check" ref="B3:H573" totalsRowShown="0" headerRowDxfId="13" dataDxfId="11" headerRowBorderDxfId="12">
  <autoFilter ref="B3:H573" xr:uid="{56A7E208-D8E9-40B5-BA3C-5C0FB77CA16A}"/>
  <sortState xmlns:xlrd2="http://schemas.microsoft.com/office/spreadsheetml/2017/richdata2" ref="B4:H573">
    <sortCondition ref="B3:B573"/>
  </sortState>
  <tableColumns count="7">
    <tableColumn id="6" xr3:uid="{6C329EE4-E458-4E51-AD2B-5EFC0BC58BFA}" name="PDF_Brutto" dataDxfId="10"/>
    <tableColumn id="7" xr3:uid="{C01CF61F-6359-4FE1-8BC5-9AFCA90D58CD}" name="PDF_SV" dataDxfId="9"/>
    <tableColumn id="8" xr3:uid="{D0998F5D-D358-4A3D-AEB4-76292D2D3166}" name="PDF_LSt" dataDxfId="8"/>
    <tableColumn id="9" xr3:uid="{A91B0D0B-D994-47D3-B20F-C5DAFC13446B}" name="PDF_Netto" dataDxfId="7"/>
    <tableColumn id="4" xr3:uid="{7EFCE819-E2C4-45DB-A36E-D6FA06334326}" name="Netto" dataDxfId="6"/>
    <tableColumn id="10" xr3:uid="{1C3BFD7D-BC09-489D-8DB6-3490E4DAD8D5}" name="Check: Logical" dataDxfId="5"/>
    <tableColumn id="12" xr3:uid="{17AFC65D-65C5-470A-B692-8DF8E57F1C49}" name="Check: Numerical"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7F9A01-49B4-4F29-99FD-5E6FD11490F3}" name="tbl_LSt_Sonderbezuege" displayName="tbl_LSt_Sonderbezuege" ref="A1:F5" totalsRowShown="0">
  <autoFilter ref="A1:F5" xr:uid="{307F9A01-49B4-4F29-99FD-5E6FD11490F3}"/>
  <tableColumns count="6">
    <tableColumn id="2" xr3:uid="{88A0BD93-F94D-4F8B-AA27-A6C00991E3C2}" name="Betrag"/>
    <tableColumn id="3" xr3:uid="{10817059-4C66-4B4F-A05B-768FA7A93F3A}" name="Betrag Kumuliert">
      <calculatedColumnFormula>+B1+A2</calculatedColumnFormula>
    </tableColumn>
    <tableColumn id="4" xr3:uid="{5438034A-E877-4258-AA66-3F42F55B0AF8}" name="Betrag VON">
      <calculatedColumnFormula>+D1+1</calculatedColumnFormula>
    </tableColumn>
    <tableColumn id="5" xr3:uid="{02B2CB0B-FD30-4C29-ACEB-AB4DA29823B0}" name="Betrag BIS">
      <calculatedColumnFormula>+B2</calculatedColumnFormula>
    </tableColumn>
    <tableColumn id="6" xr3:uid="{B899FBB0-D2C3-470E-ADF3-F5CAE850E7D2}" name="Lohnsteuer-Satz" dataDxfId="3"/>
    <tableColumn id="1" xr3:uid="{C1CAE6C1-D798-4ABE-B872-59C0B4CE3DDD}" name="Stuf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96254F-2831-4AF7-99AD-418393454C1C}" name="tbl_EffektivTarifTabelle" displayName="tbl_EffektivTarifTabelle" ref="A1:F8" totalsRowShown="0">
  <autoFilter ref="A1:F8" xr:uid="{7396254F-2831-4AF7-99AD-418393454C1C}"/>
  <tableColumns count="6">
    <tableColumn id="1" xr3:uid="{C29443C5-19B0-42D5-8847-047759301D07}" name="Monatslohn VON" dataDxfId="2"/>
    <tableColumn id="2" xr3:uid="{2D327C14-7676-4D0F-9DAD-F18D6B1DB8A4}" name="Monatslohn BIS" dataDxfId="1"/>
    <tableColumn id="3" xr3:uid="{1E90E6A8-8586-43D1-8DEA-4F95476DDACA}" name="Grenzsteuersatz"/>
    <tableColumn id="4" xr3:uid="{28AEEA9B-A400-4C52-A89E-F4AC7D667229}" name="Abzug" dataDxfId="0"/>
    <tableColumn id="5" xr3:uid="{0EFFDAD3-D846-42F6-80D1-25EF98DFF9F3}" name="Verkehrsabsetzbetrag"/>
    <tableColumn id="6" xr3:uid="{275181C3-1D58-4821-BE30-760FA396B06B}" name="Stuf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E10C3-F2D6-449B-BAE8-CC3DBEB1D87E}">
  <dimension ref="A2:I1553"/>
  <sheetViews>
    <sheetView tabSelected="1" zoomScale="85" zoomScaleNormal="85" workbookViewId="0">
      <selection activeCell="F2" sqref="F2"/>
    </sheetView>
  </sheetViews>
  <sheetFormatPr baseColWidth="10" defaultRowHeight="15"/>
  <cols>
    <col min="1" max="1" width="30.28515625" style="1" bestFit="1" customWidth="1"/>
    <col min="2" max="2" width="20.28515625" style="1" bestFit="1" customWidth="1"/>
    <col min="3" max="3" width="15.85546875" style="2" bestFit="1" customWidth="1"/>
    <col min="4" max="4" width="29" style="2" bestFit="1" customWidth="1"/>
    <col min="5" max="5" width="28.28515625" style="2" bestFit="1" customWidth="1"/>
    <col min="6" max="6" width="14.28515625" style="2" bestFit="1" customWidth="1"/>
    <col min="7" max="7" width="26.7109375" style="1" bestFit="1" customWidth="1"/>
    <col min="8" max="8" width="14.7109375" style="1" bestFit="1" customWidth="1"/>
    <col min="9" max="9" width="9.140625" style="2" bestFit="1" customWidth="1"/>
    <col min="10" max="16384" width="11.42578125" style="1"/>
  </cols>
  <sheetData>
    <row r="2" spans="1:9">
      <c r="A2" s="20" t="s">
        <v>43</v>
      </c>
      <c r="B2" s="27" t="s">
        <v>37</v>
      </c>
      <c r="C2" s="20" t="s">
        <v>38</v>
      </c>
      <c r="D2" s="20" t="s">
        <v>41</v>
      </c>
      <c r="E2" s="20" t="s">
        <v>42</v>
      </c>
      <c r="F2" s="20" t="s">
        <v>44</v>
      </c>
      <c r="I2" s="1"/>
    </row>
    <row r="3" spans="1:9" hidden="1">
      <c r="A3" s="2">
        <v>100</v>
      </c>
      <c r="B3" s="1" t="s">
        <v>39</v>
      </c>
      <c r="C3" s="2">
        <v>100</v>
      </c>
      <c r="D3" s="2">
        <v>100</v>
      </c>
      <c r="E3" s="2">
        <v>100</v>
      </c>
      <c r="F3" s="2">
        <v>1400</v>
      </c>
      <c r="I3" s="1"/>
    </row>
    <row r="4" spans="1:9" hidden="1">
      <c r="A4" s="2">
        <v>100</v>
      </c>
      <c r="B4" s="1" t="s">
        <v>45</v>
      </c>
      <c r="C4" s="2">
        <v>0</v>
      </c>
      <c r="D4" s="2">
        <v>0</v>
      </c>
      <c r="E4" s="2">
        <v>0</v>
      </c>
      <c r="F4" s="2">
        <v>0</v>
      </c>
      <c r="I4" s="1"/>
    </row>
    <row r="5" spans="1:9" hidden="1">
      <c r="A5" s="2">
        <v>100</v>
      </c>
      <c r="B5" s="1" t="s">
        <v>46</v>
      </c>
      <c r="C5" s="2">
        <v>0</v>
      </c>
      <c r="D5" s="2">
        <v>0</v>
      </c>
      <c r="E5" s="2">
        <v>0</v>
      </c>
      <c r="F5" s="2">
        <v>0</v>
      </c>
      <c r="I5" s="1"/>
    </row>
    <row r="6" spans="1:9" hidden="1">
      <c r="A6" s="2">
        <v>100</v>
      </c>
      <c r="B6" s="1" t="s">
        <v>40</v>
      </c>
      <c r="C6" s="2">
        <v>100</v>
      </c>
      <c r="D6" s="2">
        <v>100</v>
      </c>
      <c r="E6" s="2">
        <v>100</v>
      </c>
      <c r="F6" s="2">
        <v>1400</v>
      </c>
      <c r="I6" s="1"/>
    </row>
    <row r="7" spans="1:9" hidden="1">
      <c r="A7" s="2">
        <v>200</v>
      </c>
      <c r="B7" s="1" t="s">
        <v>39</v>
      </c>
      <c r="C7" s="2">
        <v>200</v>
      </c>
      <c r="D7" s="2">
        <v>200</v>
      </c>
      <c r="E7" s="2">
        <v>200</v>
      </c>
      <c r="F7" s="2">
        <v>2800</v>
      </c>
      <c r="I7" s="1"/>
    </row>
    <row r="8" spans="1:9" hidden="1">
      <c r="A8" s="2">
        <v>200</v>
      </c>
      <c r="B8" s="1" t="s">
        <v>45</v>
      </c>
      <c r="C8" s="2">
        <v>0</v>
      </c>
      <c r="D8" s="2">
        <v>0</v>
      </c>
      <c r="E8" s="2">
        <v>0</v>
      </c>
      <c r="F8" s="2">
        <v>0</v>
      </c>
      <c r="I8" s="1"/>
    </row>
    <row r="9" spans="1:9" hidden="1">
      <c r="A9" s="2">
        <v>200</v>
      </c>
      <c r="B9" s="1" t="s">
        <v>46</v>
      </c>
      <c r="C9" s="2">
        <v>0</v>
      </c>
      <c r="D9" s="2">
        <v>0</v>
      </c>
      <c r="E9" s="2">
        <v>0</v>
      </c>
      <c r="F9" s="2">
        <v>0</v>
      </c>
      <c r="I9" s="1"/>
    </row>
    <row r="10" spans="1:9" hidden="1">
      <c r="A10" s="2">
        <v>200</v>
      </c>
      <c r="B10" s="1" t="s">
        <v>40</v>
      </c>
      <c r="C10" s="2">
        <v>200</v>
      </c>
      <c r="D10" s="2">
        <v>200</v>
      </c>
      <c r="E10" s="2">
        <v>200</v>
      </c>
      <c r="F10" s="2">
        <v>2800</v>
      </c>
      <c r="I10" s="1"/>
    </row>
    <row r="11" spans="1:9" hidden="1">
      <c r="A11" s="2">
        <v>300</v>
      </c>
      <c r="B11" s="1" t="s">
        <v>39</v>
      </c>
      <c r="C11" s="2">
        <v>300</v>
      </c>
      <c r="D11" s="2">
        <v>300</v>
      </c>
      <c r="E11" s="2">
        <v>300</v>
      </c>
      <c r="F11" s="2">
        <v>4200</v>
      </c>
      <c r="I11" s="1"/>
    </row>
    <row r="12" spans="1:9" hidden="1">
      <c r="A12" s="2">
        <v>300</v>
      </c>
      <c r="B12" s="1" t="s">
        <v>45</v>
      </c>
      <c r="C12" s="2">
        <v>0</v>
      </c>
      <c r="D12" s="2">
        <v>0</v>
      </c>
      <c r="E12" s="2">
        <v>0</v>
      </c>
      <c r="F12" s="2">
        <v>0</v>
      </c>
      <c r="I12" s="1"/>
    </row>
    <row r="13" spans="1:9" hidden="1">
      <c r="A13" s="2">
        <v>300</v>
      </c>
      <c r="B13" s="1" t="s">
        <v>46</v>
      </c>
      <c r="C13" s="2">
        <v>0</v>
      </c>
      <c r="D13" s="2">
        <v>0</v>
      </c>
      <c r="E13" s="2">
        <v>0</v>
      </c>
      <c r="F13" s="2">
        <v>0</v>
      </c>
      <c r="I13" s="1"/>
    </row>
    <row r="14" spans="1:9" hidden="1">
      <c r="A14" s="2">
        <v>300</v>
      </c>
      <c r="B14" s="1" t="s">
        <v>40</v>
      </c>
      <c r="C14" s="2">
        <v>300</v>
      </c>
      <c r="D14" s="2">
        <v>300</v>
      </c>
      <c r="E14" s="2">
        <v>300</v>
      </c>
      <c r="F14" s="2">
        <v>4200</v>
      </c>
      <c r="I14" s="1"/>
    </row>
    <row r="15" spans="1:9" hidden="1">
      <c r="A15" s="2">
        <v>400</v>
      </c>
      <c r="B15" s="1" t="s">
        <v>39</v>
      </c>
      <c r="C15" s="2">
        <v>400</v>
      </c>
      <c r="D15" s="2">
        <v>400</v>
      </c>
      <c r="E15" s="2">
        <v>400</v>
      </c>
      <c r="F15" s="2">
        <v>5600</v>
      </c>
      <c r="I15" s="1"/>
    </row>
    <row r="16" spans="1:9" hidden="1">
      <c r="A16" s="2">
        <v>400</v>
      </c>
      <c r="B16" s="1" t="s">
        <v>45</v>
      </c>
      <c r="C16" s="2">
        <v>0</v>
      </c>
      <c r="D16" s="2">
        <v>0</v>
      </c>
      <c r="E16" s="2">
        <v>0</v>
      </c>
      <c r="F16" s="2">
        <v>0</v>
      </c>
      <c r="I16" s="1"/>
    </row>
    <row r="17" spans="1:9" hidden="1">
      <c r="A17" s="2">
        <v>400</v>
      </c>
      <c r="B17" s="1" t="s">
        <v>46</v>
      </c>
      <c r="C17" s="2">
        <v>0</v>
      </c>
      <c r="D17" s="2">
        <v>0</v>
      </c>
      <c r="E17" s="2">
        <v>0</v>
      </c>
      <c r="F17" s="2">
        <v>0</v>
      </c>
      <c r="I17" s="1"/>
    </row>
    <row r="18" spans="1:9" hidden="1">
      <c r="A18" s="2">
        <v>400</v>
      </c>
      <c r="B18" s="1" t="s">
        <v>40</v>
      </c>
      <c r="C18" s="2">
        <v>400</v>
      </c>
      <c r="D18" s="2">
        <v>400</v>
      </c>
      <c r="E18" s="2">
        <v>400</v>
      </c>
      <c r="F18" s="2">
        <v>5600</v>
      </c>
      <c r="I18" s="1"/>
    </row>
    <row r="19" spans="1:9" hidden="1">
      <c r="A19" s="2">
        <v>500</v>
      </c>
      <c r="B19" s="1" t="s">
        <v>39</v>
      </c>
      <c r="C19" s="2">
        <v>500</v>
      </c>
      <c r="D19" s="2">
        <v>500</v>
      </c>
      <c r="E19" s="2">
        <v>500</v>
      </c>
      <c r="F19" s="2">
        <v>7000</v>
      </c>
      <c r="I19" s="1"/>
    </row>
    <row r="20" spans="1:9" hidden="1">
      <c r="A20" s="2">
        <v>500</v>
      </c>
      <c r="B20" s="1" t="s">
        <v>45</v>
      </c>
      <c r="C20" s="2">
        <v>0</v>
      </c>
      <c r="D20" s="2">
        <v>0</v>
      </c>
      <c r="E20" s="2">
        <v>0</v>
      </c>
      <c r="F20" s="2">
        <v>0</v>
      </c>
      <c r="I20" s="1"/>
    </row>
    <row r="21" spans="1:9" hidden="1">
      <c r="A21" s="2">
        <v>500</v>
      </c>
      <c r="B21" s="1" t="s">
        <v>46</v>
      </c>
      <c r="C21" s="2">
        <v>0</v>
      </c>
      <c r="D21" s="2">
        <v>0</v>
      </c>
      <c r="E21" s="2">
        <v>0</v>
      </c>
      <c r="F21" s="2">
        <v>0</v>
      </c>
      <c r="I21" s="1"/>
    </row>
    <row r="22" spans="1:9" hidden="1">
      <c r="A22" s="2">
        <v>500</v>
      </c>
      <c r="B22" s="1" t="s">
        <v>40</v>
      </c>
      <c r="C22" s="2">
        <v>500</v>
      </c>
      <c r="D22" s="2">
        <v>500</v>
      </c>
      <c r="E22" s="2">
        <v>500</v>
      </c>
      <c r="F22" s="2">
        <v>7000</v>
      </c>
      <c r="I22" s="1"/>
    </row>
    <row r="23" spans="1:9" hidden="1">
      <c r="A23" s="2">
        <v>600</v>
      </c>
      <c r="B23" s="1" t="s">
        <v>39</v>
      </c>
      <c r="C23" s="2">
        <v>600</v>
      </c>
      <c r="D23" s="2">
        <v>600</v>
      </c>
      <c r="E23" s="2">
        <v>600</v>
      </c>
      <c r="F23" s="2">
        <v>8400</v>
      </c>
      <c r="I23" s="1"/>
    </row>
    <row r="24" spans="1:9" hidden="1">
      <c r="A24" s="2">
        <v>600</v>
      </c>
      <c r="B24" s="1" t="s">
        <v>45</v>
      </c>
      <c r="C24" s="2">
        <v>90.72</v>
      </c>
      <c r="D24" s="2">
        <v>84.72</v>
      </c>
      <c r="E24" s="2">
        <v>84.72</v>
      </c>
      <c r="F24" s="2">
        <v>1258.08</v>
      </c>
      <c r="I24" s="1"/>
    </row>
    <row r="25" spans="1:9" hidden="1">
      <c r="A25" s="2">
        <v>600</v>
      </c>
      <c r="B25" s="1" t="s">
        <v>46</v>
      </c>
      <c r="C25" s="2">
        <v>0</v>
      </c>
      <c r="D25" s="2">
        <v>0</v>
      </c>
      <c r="E25" s="2">
        <v>0</v>
      </c>
      <c r="F25" s="2">
        <v>0</v>
      </c>
      <c r="I25" s="1"/>
    </row>
    <row r="26" spans="1:9" hidden="1">
      <c r="A26" s="2">
        <v>600</v>
      </c>
      <c r="B26" s="1" t="s">
        <v>40</v>
      </c>
      <c r="C26" s="2">
        <v>509.28</v>
      </c>
      <c r="D26" s="2">
        <v>515.28</v>
      </c>
      <c r="E26" s="2">
        <v>515.28</v>
      </c>
      <c r="F26" s="2">
        <v>7141.9199999999992</v>
      </c>
      <c r="I26" s="1"/>
    </row>
    <row r="27" spans="1:9" hidden="1">
      <c r="A27" s="2">
        <v>700</v>
      </c>
      <c r="B27" s="1" t="s">
        <v>39</v>
      </c>
      <c r="C27" s="2">
        <v>700</v>
      </c>
      <c r="D27" s="2">
        <v>700</v>
      </c>
      <c r="E27" s="2">
        <v>700</v>
      </c>
      <c r="F27" s="2">
        <v>9800</v>
      </c>
      <c r="I27" s="1"/>
    </row>
    <row r="28" spans="1:9" hidden="1">
      <c r="A28" s="2">
        <v>700</v>
      </c>
      <c r="B28" s="1" t="s">
        <v>45</v>
      </c>
      <c r="C28" s="2">
        <v>105.84</v>
      </c>
      <c r="D28" s="2">
        <v>98.839999999999989</v>
      </c>
      <c r="E28" s="2">
        <v>98.839999999999989</v>
      </c>
      <c r="F28" s="2">
        <v>1467.7599999999998</v>
      </c>
      <c r="I28" s="1"/>
    </row>
    <row r="29" spans="1:9" hidden="1">
      <c r="A29" s="2">
        <v>700</v>
      </c>
      <c r="B29" s="1" t="s">
        <v>46</v>
      </c>
      <c r="C29" s="2">
        <v>0</v>
      </c>
      <c r="D29" s="2">
        <v>0</v>
      </c>
      <c r="E29" s="2">
        <v>0</v>
      </c>
      <c r="F29" s="2">
        <v>0</v>
      </c>
      <c r="I29" s="1"/>
    </row>
    <row r="30" spans="1:9" hidden="1">
      <c r="A30" s="2">
        <v>700</v>
      </c>
      <c r="B30" s="1" t="s">
        <v>40</v>
      </c>
      <c r="C30" s="2">
        <v>594.16</v>
      </c>
      <c r="D30" s="2">
        <v>601.16</v>
      </c>
      <c r="E30" s="2">
        <v>601.16</v>
      </c>
      <c r="F30" s="2">
        <v>8332.24</v>
      </c>
      <c r="I30" s="1"/>
    </row>
    <row r="31" spans="1:9" hidden="1">
      <c r="A31" s="2">
        <v>800</v>
      </c>
      <c r="B31" s="1" t="s">
        <v>39</v>
      </c>
      <c r="C31" s="2">
        <v>800</v>
      </c>
      <c r="D31" s="2">
        <v>800</v>
      </c>
      <c r="E31" s="2">
        <v>800</v>
      </c>
      <c r="F31" s="2">
        <v>11200</v>
      </c>
      <c r="I31" s="1"/>
    </row>
    <row r="32" spans="1:9" hidden="1">
      <c r="A32" s="2">
        <v>800</v>
      </c>
      <c r="B32" s="1" t="s">
        <v>45</v>
      </c>
      <c r="C32" s="2">
        <v>120.96</v>
      </c>
      <c r="D32" s="2">
        <v>112.96</v>
      </c>
      <c r="E32" s="2">
        <v>112.96</v>
      </c>
      <c r="F32" s="2">
        <v>1677.44</v>
      </c>
      <c r="I32" s="1"/>
    </row>
    <row r="33" spans="1:9" hidden="1">
      <c r="A33" s="2">
        <v>800</v>
      </c>
      <c r="B33" s="1" t="s">
        <v>46</v>
      </c>
      <c r="C33" s="2">
        <v>0</v>
      </c>
      <c r="D33" s="2">
        <v>0</v>
      </c>
      <c r="E33" s="2">
        <v>0</v>
      </c>
      <c r="F33" s="2">
        <v>0</v>
      </c>
      <c r="I33" s="1"/>
    </row>
    <row r="34" spans="1:9" hidden="1">
      <c r="A34" s="2">
        <v>800</v>
      </c>
      <c r="B34" s="1" t="s">
        <v>40</v>
      </c>
      <c r="C34" s="2">
        <v>679.04</v>
      </c>
      <c r="D34" s="2">
        <v>687.04</v>
      </c>
      <c r="E34" s="2">
        <v>687.04</v>
      </c>
      <c r="F34" s="2">
        <v>9522.5600000000013</v>
      </c>
      <c r="I34" s="1"/>
    </row>
    <row r="35" spans="1:9" hidden="1">
      <c r="A35" s="2">
        <v>900</v>
      </c>
      <c r="B35" s="1" t="s">
        <v>39</v>
      </c>
      <c r="C35" s="2">
        <v>900</v>
      </c>
      <c r="D35" s="2">
        <v>900</v>
      </c>
      <c r="E35" s="2">
        <v>900</v>
      </c>
      <c r="F35" s="2">
        <v>12600</v>
      </c>
      <c r="I35" s="1"/>
    </row>
    <row r="36" spans="1:9" hidden="1">
      <c r="A36" s="2">
        <v>900</v>
      </c>
      <c r="B36" s="1" t="s">
        <v>45</v>
      </c>
      <c r="C36" s="2">
        <v>136.08000000000001</v>
      </c>
      <c r="D36" s="2">
        <v>127.08</v>
      </c>
      <c r="E36" s="2">
        <v>127.08</v>
      </c>
      <c r="F36" s="2">
        <v>1887.12</v>
      </c>
      <c r="I36" s="1"/>
    </row>
    <row r="37" spans="1:9" hidden="1">
      <c r="A37" s="2">
        <v>900</v>
      </c>
      <c r="B37" s="1" t="s">
        <v>46</v>
      </c>
      <c r="C37" s="2">
        <v>0</v>
      </c>
      <c r="D37" s="2">
        <v>0</v>
      </c>
      <c r="E37" s="2">
        <v>0</v>
      </c>
      <c r="F37" s="2">
        <v>0</v>
      </c>
      <c r="I37" s="1"/>
    </row>
    <row r="38" spans="1:9" hidden="1">
      <c r="A38" s="2">
        <v>900</v>
      </c>
      <c r="B38" s="1" t="s">
        <v>40</v>
      </c>
      <c r="C38" s="2">
        <v>763.92</v>
      </c>
      <c r="D38" s="2">
        <v>772.92</v>
      </c>
      <c r="E38" s="2">
        <v>772.92</v>
      </c>
      <c r="F38" s="2">
        <v>10712.88</v>
      </c>
      <c r="I38" s="1"/>
    </row>
    <row r="39" spans="1:9" hidden="1">
      <c r="A39" s="2">
        <v>1000</v>
      </c>
      <c r="B39" s="1" t="s">
        <v>39</v>
      </c>
      <c r="C39" s="2">
        <v>1000</v>
      </c>
      <c r="D39" s="2">
        <v>1000</v>
      </c>
      <c r="E39" s="2">
        <v>1000</v>
      </c>
      <c r="F39" s="2">
        <v>14000</v>
      </c>
      <c r="I39" s="1"/>
    </row>
    <row r="40" spans="1:9" hidden="1">
      <c r="A40" s="2">
        <v>1000</v>
      </c>
      <c r="B40" s="1" t="s">
        <v>45</v>
      </c>
      <c r="C40" s="2">
        <v>151.19999999999999</v>
      </c>
      <c r="D40" s="2">
        <v>141.19999999999999</v>
      </c>
      <c r="E40" s="2">
        <v>141.19999999999999</v>
      </c>
      <c r="F40" s="2">
        <v>2096.7999999999997</v>
      </c>
      <c r="I40" s="1"/>
    </row>
    <row r="41" spans="1:9" hidden="1">
      <c r="A41" s="2">
        <v>1000</v>
      </c>
      <c r="B41" s="1" t="s">
        <v>46</v>
      </c>
      <c r="C41" s="2">
        <v>0</v>
      </c>
      <c r="D41" s="2">
        <v>0</v>
      </c>
      <c r="E41" s="2">
        <v>0</v>
      </c>
      <c r="F41" s="2">
        <v>0</v>
      </c>
      <c r="I41" s="1"/>
    </row>
    <row r="42" spans="1:9" hidden="1">
      <c r="A42" s="2">
        <v>1000</v>
      </c>
      <c r="B42" s="1" t="s">
        <v>40</v>
      </c>
      <c r="C42" s="2">
        <v>848.8</v>
      </c>
      <c r="D42" s="2">
        <v>858.8</v>
      </c>
      <c r="E42" s="2">
        <v>858.8</v>
      </c>
      <c r="F42" s="2">
        <v>11903.199999999997</v>
      </c>
      <c r="I42" s="1"/>
    </row>
    <row r="43" spans="1:9" hidden="1">
      <c r="A43" s="2">
        <v>1100</v>
      </c>
      <c r="B43" s="1" t="s">
        <v>39</v>
      </c>
      <c r="C43" s="2">
        <v>1100</v>
      </c>
      <c r="D43" s="2">
        <v>1100</v>
      </c>
      <c r="E43" s="2">
        <v>1100</v>
      </c>
      <c r="F43" s="2">
        <v>15400</v>
      </c>
      <c r="I43" s="1"/>
    </row>
    <row r="44" spans="1:9" hidden="1">
      <c r="A44" s="2">
        <v>1100</v>
      </c>
      <c r="B44" s="1" t="s">
        <v>45</v>
      </c>
      <c r="C44" s="2">
        <v>166.32</v>
      </c>
      <c r="D44" s="2">
        <v>155.32</v>
      </c>
      <c r="E44" s="2">
        <v>155.32</v>
      </c>
      <c r="F44" s="2">
        <v>2306.48</v>
      </c>
      <c r="I44" s="1"/>
    </row>
    <row r="45" spans="1:9" hidden="1">
      <c r="A45" s="2">
        <v>1100</v>
      </c>
      <c r="B45" s="1" t="s">
        <v>46</v>
      </c>
      <c r="C45" s="2">
        <v>0</v>
      </c>
      <c r="D45" s="2">
        <v>0</v>
      </c>
      <c r="E45" s="2">
        <v>0</v>
      </c>
      <c r="F45" s="2">
        <v>0</v>
      </c>
      <c r="I45" s="1"/>
    </row>
    <row r="46" spans="1:9" hidden="1">
      <c r="A46" s="2">
        <v>1100</v>
      </c>
      <c r="B46" s="1" t="s">
        <v>40</v>
      </c>
      <c r="C46" s="2">
        <v>933.68</v>
      </c>
      <c r="D46" s="2">
        <v>944.68000000000006</v>
      </c>
      <c r="E46" s="2">
        <v>944.68</v>
      </c>
      <c r="F46" s="2">
        <v>13093.52</v>
      </c>
      <c r="I46" s="1"/>
    </row>
    <row r="47" spans="1:9" hidden="1">
      <c r="A47" s="2">
        <v>1200</v>
      </c>
      <c r="B47" s="1" t="s">
        <v>39</v>
      </c>
      <c r="C47" s="2">
        <v>1200</v>
      </c>
      <c r="D47" s="2">
        <v>1200</v>
      </c>
      <c r="E47" s="2">
        <v>1200</v>
      </c>
      <c r="F47" s="2">
        <v>16800</v>
      </c>
      <c r="I47" s="1"/>
    </row>
    <row r="48" spans="1:9" hidden="1">
      <c r="A48" s="2">
        <v>1200</v>
      </c>
      <c r="B48" s="1" t="s">
        <v>45</v>
      </c>
      <c r="C48" s="2">
        <v>181.44</v>
      </c>
      <c r="D48" s="2">
        <v>169.44</v>
      </c>
      <c r="E48" s="2">
        <v>169.44</v>
      </c>
      <c r="F48" s="2">
        <v>2516.16</v>
      </c>
      <c r="I48" s="1"/>
    </row>
    <row r="49" spans="1:9" hidden="1">
      <c r="A49" s="2">
        <v>1200</v>
      </c>
      <c r="B49" s="1" t="s">
        <v>46</v>
      </c>
      <c r="C49" s="2">
        <v>0</v>
      </c>
      <c r="D49" s="2">
        <v>0</v>
      </c>
      <c r="E49" s="2">
        <v>0</v>
      </c>
      <c r="F49" s="2">
        <v>0</v>
      </c>
      <c r="I49" s="1"/>
    </row>
    <row r="50" spans="1:9" hidden="1">
      <c r="A50" s="2">
        <v>1200</v>
      </c>
      <c r="B50" s="1" t="s">
        <v>40</v>
      </c>
      <c r="C50" s="2">
        <v>1018.56</v>
      </c>
      <c r="D50" s="2">
        <v>1030.56</v>
      </c>
      <c r="E50" s="2">
        <v>1030.56</v>
      </c>
      <c r="F50" s="2">
        <v>14283.839999999998</v>
      </c>
      <c r="I50" s="1"/>
    </row>
    <row r="51" spans="1:9" hidden="1">
      <c r="A51" s="2">
        <v>1300</v>
      </c>
      <c r="B51" s="1" t="s">
        <v>39</v>
      </c>
      <c r="C51" s="2">
        <v>1300</v>
      </c>
      <c r="D51" s="2">
        <v>1300</v>
      </c>
      <c r="E51" s="2">
        <v>1300</v>
      </c>
      <c r="F51" s="2">
        <v>18200</v>
      </c>
      <c r="I51" s="1"/>
    </row>
    <row r="52" spans="1:9" hidden="1">
      <c r="A52" s="2">
        <v>1300</v>
      </c>
      <c r="B52" s="1" t="s">
        <v>45</v>
      </c>
      <c r="C52" s="2">
        <v>196.56</v>
      </c>
      <c r="D52" s="2">
        <v>183.56</v>
      </c>
      <c r="E52" s="2">
        <v>183.56</v>
      </c>
      <c r="F52" s="2">
        <v>2725.84</v>
      </c>
      <c r="I52" s="1"/>
    </row>
    <row r="53" spans="1:9" hidden="1">
      <c r="A53" s="2">
        <v>1300</v>
      </c>
      <c r="B53" s="1" t="s">
        <v>46</v>
      </c>
      <c r="C53" s="2">
        <v>0</v>
      </c>
      <c r="D53" s="2">
        <v>29.79</v>
      </c>
      <c r="E53" s="2">
        <v>66.982200000000006</v>
      </c>
      <c r="F53" s="2">
        <v>96.772199999999998</v>
      </c>
      <c r="I53" s="1"/>
    </row>
    <row r="54" spans="1:9" hidden="1">
      <c r="A54" s="2">
        <v>1300</v>
      </c>
      <c r="B54" s="1" t="s">
        <v>40</v>
      </c>
      <c r="C54" s="2">
        <v>1103.44</v>
      </c>
      <c r="D54" s="2">
        <v>1086.6500000000001</v>
      </c>
      <c r="E54" s="2">
        <v>1049.46</v>
      </c>
      <c r="F54" s="2">
        <v>15377.39</v>
      </c>
      <c r="I54" s="1"/>
    </row>
    <row r="55" spans="1:9" hidden="1">
      <c r="A55" s="2">
        <v>1400</v>
      </c>
      <c r="B55" s="1" t="s">
        <v>39</v>
      </c>
      <c r="C55" s="2">
        <v>1400</v>
      </c>
      <c r="D55" s="2">
        <v>1400</v>
      </c>
      <c r="E55" s="2">
        <v>1400</v>
      </c>
      <c r="F55" s="2">
        <v>19600</v>
      </c>
      <c r="I55" s="1"/>
    </row>
    <row r="56" spans="1:9" hidden="1">
      <c r="A56" s="2">
        <v>1400</v>
      </c>
      <c r="B56" s="1" t="s">
        <v>45</v>
      </c>
      <c r="C56" s="2">
        <v>211.68</v>
      </c>
      <c r="D56" s="2">
        <v>197.67999999999998</v>
      </c>
      <c r="E56" s="2">
        <v>197.67999999999998</v>
      </c>
      <c r="F56" s="2">
        <v>2935.5199999999995</v>
      </c>
      <c r="I56" s="1"/>
    </row>
    <row r="57" spans="1:9" hidden="1">
      <c r="A57" s="2">
        <v>1400</v>
      </c>
      <c r="B57" s="1" t="s">
        <v>46</v>
      </c>
      <c r="C57" s="2">
        <v>0</v>
      </c>
      <c r="D57" s="2">
        <v>34.94</v>
      </c>
      <c r="E57" s="2">
        <v>72.137799999999984</v>
      </c>
      <c r="F57" s="2">
        <v>107.07779999999998</v>
      </c>
      <c r="I57" s="1"/>
    </row>
    <row r="58" spans="1:9" hidden="1">
      <c r="A58" s="2">
        <v>1400</v>
      </c>
      <c r="B58" s="1" t="s">
        <v>40</v>
      </c>
      <c r="C58" s="2">
        <v>1188.32</v>
      </c>
      <c r="D58" s="2">
        <v>1167.3799999999999</v>
      </c>
      <c r="E58" s="2">
        <v>1130.18</v>
      </c>
      <c r="F58" s="2">
        <v>16557.399999999998</v>
      </c>
      <c r="I58" s="1"/>
    </row>
    <row r="59" spans="1:9" hidden="1">
      <c r="A59" s="2">
        <v>1500</v>
      </c>
      <c r="B59" s="1" t="s">
        <v>39</v>
      </c>
      <c r="C59" s="2">
        <v>1500</v>
      </c>
      <c r="D59" s="2">
        <v>1500</v>
      </c>
      <c r="E59" s="2">
        <v>1500</v>
      </c>
      <c r="F59" s="2">
        <v>21000</v>
      </c>
      <c r="I59" s="1"/>
    </row>
    <row r="60" spans="1:9" hidden="1">
      <c r="A60" s="2">
        <v>1500</v>
      </c>
      <c r="B60" s="1" t="s">
        <v>45</v>
      </c>
      <c r="C60" s="2">
        <v>226.8</v>
      </c>
      <c r="D60" s="2">
        <v>211.79999999999998</v>
      </c>
      <c r="E60" s="2">
        <v>211.79999999999998</v>
      </c>
      <c r="F60" s="2">
        <v>3145.2000000000007</v>
      </c>
      <c r="I60" s="1"/>
    </row>
    <row r="61" spans="1:9" hidden="1">
      <c r="A61" s="2">
        <v>1500</v>
      </c>
      <c r="B61" s="1" t="s">
        <v>46</v>
      </c>
      <c r="C61" s="2">
        <v>0</v>
      </c>
      <c r="D61" s="2">
        <v>40.090000000000003</v>
      </c>
      <c r="E61" s="2">
        <v>77.293399999999991</v>
      </c>
      <c r="F61" s="2">
        <v>117.38339999999999</v>
      </c>
      <c r="I61" s="1"/>
    </row>
    <row r="62" spans="1:9" hidden="1">
      <c r="A62" s="2">
        <v>1500</v>
      </c>
      <c r="B62" s="1" t="s">
        <v>40</v>
      </c>
      <c r="C62" s="2">
        <v>1273.2</v>
      </c>
      <c r="D62" s="2">
        <v>1248.1100000000001</v>
      </c>
      <c r="E62" s="2">
        <v>1210.9100000000001</v>
      </c>
      <c r="F62" s="2">
        <v>17737.420000000002</v>
      </c>
      <c r="I62" s="1"/>
    </row>
    <row r="63" spans="1:9" hidden="1">
      <c r="A63" s="2">
        <v>1600</v>
      </c>
      <c r="B63" s="1" t="s">
        <v>39</v>
      </c>
      <c r="C63" s="2">
        <v>1600</v>
      </c>
      <c r="D63" s="2">
        <v>1600</v>
      </c>
      <c r="E63" s="2">
        <v>1600</v>
      </c>
      <c r="F63" s="2">
        <v>22400</v>
      </c>
      <c r="I63" s="1"/>
    </row>
    <row r="64" spans="1:9" hidden="1">
      <c r="A64" s="2">
        <v>1600</v>
      </c>
      <c r="B64" s="1" t="s">
        <v>45</v>
      </c>
      <c r="C64" s="2">
        <v>241.92</v>
      </c>
      <c r="D64" s="2">
        <v>225.92</v>
      </c>
      <c r="E64" s="2">
        <v>225.92</v>
      </c>
      <c r="F64" s="2">
        <v>3354.88</v>
      </c>
      <c r="I64" s="1"/>
    </row>
    <row r="65" spans="1:9" hidden="1">
      <c r="A65" s="2">
        <v>1600</v>
      </c>
      <c r="B65" s="1" t="s">
        <v>46</v>
      </c>
      <c r="C65" s="2">
        <v>7.04</v>
      </c>
      <c r="D65" s="2">
        <v>45.24</v>
      </c>
      <c r="E65" s="2">
        <v>82.448999999999984</v>
      </c>
      <c r="F65" s="2">
        <v>212.16899999999998</v>
      </c>
      <c r="I65" s="1"/>
    </row>
    <row r="66" spans="1:9" hidden="1">
      <c r="A66" s="2">
        <v>1600</v>
      </c>
      <c r="B66" s="1" t="s">
        <v>40</v>
      </c>
      <c r="C66" s="2">
        <v>1351.04</v>
      </c>
      <c r="D66" s="2">
        <v>1328.84</v>
      </c>
      <c r="E66" s="2">
        <v>1291.6300000000001</v>
      </c>
      <c r="F66" s="2">
        <v>18832.95</v>
      </c>
      <c r="I66" s="1"/>
    </row>
    <row r="67" spans="1:9" hidden="1">
      <c r="A67" s="2">
        <v>1700</v>
      </c>
      <c r="B67" s="1" t="s">
        <v>39</v>
      </c>
      <c r="C67" s="2">
        <v>1700</v>
      </c>
      <c r="D67" s="2">
        <v>1700</v>
      </c>
      <c r="E67" s="2">
        <v>1700</v>
      </c>
      <c r="F67" s="2">
        <v>23800</v>
      </c>
      <c r="I67" s="1"/>
    </row>
    <row r="68" spans="1:9" hidden="1">
      <c r="A68" s="2">
        <v>1700</v>
      </c>
      <c r="B68" s="1" t="s">
        <v>45</v>
      </c>
      <c r="C68" s="2">
        <v>257.04000000000002</v>
      </c>
      <c r="D68" s="2">
        <v>240.04</v>
      </c>
      <c r="E68" s="2">
        <v>240.04</v>
      </c>
      <c r="F68" s="2">
        <v>3564.5600000000004</v>
      </c>
      <c r="I68" s="1"/>
    </row>
    <row r="69" spans="1:9" hidden="1">
      <c r="A69" s="2">
        <v>1700</v>
      </c>
      <c r="B69" s="1" t="s">
        <v>46</v>
      </c>
      <c r="C69" s="2">
        <v>24.01</v>
      </c>
      <c r="D69" s="2">
        <v>50.4</v>
      </c>
      <c r="E69" s="2">
        <v>87.594599999999986</v>
      </c>
      <c r="F69" s="2">
        <v>426.1146</v>
      </c>
      <c r="I69" s="1"/>
    </row>
    <row r="70" spans="1:9" hidden="1">
      <c r="A70" s="2">
        <v>1700</v>
      </c>
      <c r="B70" s="1" t="s">
        <v>40</v>
      </c>
      <c r="C70" s="2">
        <v>1418.95</v>
      </c>
      <c r="D70" s="2">
        <v>1409.56</v>
      </c>
      <c r="E70" s="2">
        <v>1372.37</v>
      </c>
      <c r="F70" s="2">
        <v>19809.330000000002</v>
      </c>
      <c r="I70" s="1"/>
    </row>
    <row r="71" spans="1:9" hidden="1">
      <c r="A71" s="2">
        <v>1800</v>
      </c>
      <c r="B71" s="1" t="s">
        <v>39</v>
      </c>
      <c r="C71" s="2">
        <v>1800</v>
      </c>
      <c r="D71" s="2">
        <v>1800</v>
      </c>
      <c r="E71" s="2">
        <v>1800</v>
      </c>
      <c r="F71" s="2">
        <v>25200</v>
      </c>
      <c r="I71" s="1"/>
    </row>
    <row r="72" spans="1:9" hidden="1">
      <c r="A72" s="2">
        <v>1800</v>
      </c>
      <c r="B72" s="1" t="s">
        <v>45</v>
      </c>
      <c r="C72" s="2">
        <v>272.16000000000003</v>
      </c>
      <c r="D72" s="2">
        <v>254.16</v>
      </c>
      <c r="E72" s="2">
        <v>254.16</v>
      </c>
      <c r="F72" s="2">
        <v>3774.24</v>
      </c>
      <c r="I72" s="1"/>
    </row>
    <row r="73" spans="1:9" hidden="1">
      <c r="A73" s="2">
        <v>1800</v>
      </c>
      <c r="B73" s="1" t="s">
        <v>46</v>
      </c>
      <c r="C73" s="2">
        <v>40.99</v>
      </c>
      <c r="D73" s="2">
        <v>55.55</v>
      </c>
      <c r="E73" s="2">
        <v>92.750199999999992</v>
      </c>
      <c r="F73" s="2">
        <v>640.1801999999999</v>
      </c>
      <c r="I73" s="1"/>
    </row>
    <row r="74" spans="1:9" hidden="1">
      <c r="A74" s="2">
        <v>1800</v>
      </c>
      <c r="B74" s="1" t="s">
        <v>40</v>
      </c>
      <c r="C74" s="2">
        <v>1486.85</v>
      </c>
      <c r="D74" s="2">
        <v>1490.29</v>
      </c>
      <c r="E74" s="2">
        <v>1453.09</v>
      </c>
      <c r="F74" s="2">
        <v>20785.579999999998</v>
      </c>
      <c r="I74" s="1"/>
    </row>
    <row r="75" spans="1:9" hidden="1">
      <c r="A75" s="2">
        <v>1900</v>
      </c>
      <c r="B75" s="1" t="s">
        <v>39</v>
      </c>
      <c r="C75" s="2">
        <v>1900</v>
      </c>
      <c r="D75" s="2">
        <v>1900</v>
      </c>
      <c r="E75" s="2">
        <v>1900</v>
      </c>
      <c r="F75" s="2">
        <v>26600</v>
      </c>
      <c r="I75" s="1"/>
    </row>
    <row r="76" spans="1:9" hidden="1">
      <c r="A76" s="2">
        <v>1900</v>
      </c>
      <c r="B76" s="1" t="s">
        <v>45</v>
      </c>
      <c r="C76" s="2">
        <v>287.27999999999997</v>
      </c>
      <c r="D76" s="2">
        <v>268.27999999999997</v>
      </c>
      <c r="E76" s="2">
        <v>268.27999999999997</v>
      </c>
      <c r="F76" s="2">
        <v>3983.9199999999992</v>
      </c>
      <c r="I76" s="1"/>
    </row>
    <row r="77" spans="1:9" hidden="1">
      <c r="A77" s="2">
        <v>1900</v>
      </c>
      <c r="B77" s="1" t="s">
        <v>46</v>
      </c>
      <c r="C77" s="2">
        <v>57.96</v>
      </c>
      <c r="D77" s="2">
        <v>60.7</v>
      </c>
      <c r="E77" s="2">
        <v>97.905800000000013</v>
      </c>
      <c r="F77" s="2">
        <v>854.12580000000003</v>
      </c>
      <c r="I77" s="1"/>
    </row>
    <row r="78" spans="1:9" hidden="1">
      <c r="A78" s="2">
        <v>1900</v>
      </c>
      <c r="B78" s="1" t="s">
        <v>40</v>
      </c>
      <c r="C78" s="2">
        <v>1554.76</v>
      </c>
      <c r="D78" s="2">
        <v>1571.02</v>
      </c>
      <c r="E78" s="2">
        <v>1533.81</v>
      </c>
      <c r="F78" s="2">
        <v>21761.95</v>
      </c>
      <c r="I78" s="1"/>
    </row>
    <row r="79" spans="1:9" hidden="1">
      <c r="A79" s="2">
        <v>2000</v>
      </c>
      <c r="B79" s="1" t="s">
        <v>39</v>
      </c>
      <c r="C79" s="2">
        <v>2000</v>
      </c>
      <c r="D79" s="2">
        <v>2000</v>
      </c>
      <c r="E79" s="2">
        <v>2000</v>
      </c>
      <c r="F79" s="2">
        <v>28000</v>
      </c>
      <c r="I79" s="1"/>
    </row>
    <row r="80" spans="1:9" hidden="1">
      <c r="A80" s="2">
        <v>2000</v>
      </c>
      <c r="B80" s="1" t="s">
        <v>45</v>
      </c>
      <c r="C80" s="2">
        <v>302.39999999999998</v>
      </c>
      <c r="D80" s="2">
        <v>282.39999999999998</v>
      </c>
      <c r="E80" s="2">
        <v>282.39999999999998</v>
      </c>
      <c r="F80" s="2">
        <v>4193.5999999999995</v>
      </c>
      <c r="I80" s="1"/>
    </row>
    <row r="81" spans="1:9" hidden="1">
      <c r="A81" s="2">
        <v>2000</v>
      </c>
      <c r="B81" s="1" t="s">
        <v>46</v>
      </c>
      <c r="C81" s="2">
        <v>74.94</v>
      </c>
      <c r="D81" s="2">
        <v>65.86</v>
      </c>
      <c r="E81" s="2">
        <v>103.05139999999996</v>
      </c>
      <c r="F81" s="2">
        <v>1068.1913999999999</v>
      </c>
      <c r="I81" s="1"/>
    </row>
    <row r="82" spans="1:9" hidden="1">
      <c r="A82" s="2">
        <v>2000</v>
      </c>
      <c r="B82" s="1" t="s">
        <v>40</v>
      </c>
      <c r="C82" s="2">
        <v>1622.66</v>
      </c>
      <c r="D82" s="2">
        <v>1651.74</v>
      </c>
      <c r="E82" s="2">
        <v>1614.55</v>
      </c>
      <c r="F82" s="2">
        <v>22738.210000000003</v>
      </c>
      <c r="I82" s="1"/>
    </row>
    <row r="83" spans="1:9" hidden="1">
      <c r="A83" s="2">
        <v>2100</v>
      </c>
      <c r="B83" s="1" t="s">
        <v>39</v>
      </c>
      <c r="C83" s="2">
        <v>2100</v>
      </c>
      <c r="D83" s="2">
        <v>2100</v>
      </c>
      <c r="E83" s="2">
        <v>2100</v>
      </c>
      <c r="F83" s="2">
        <v>29400</v>
      </c>
      <c r="I83" s="1"/>
    </row>
    <row r="84" spans="1:9" hidden="1">
      <c r="A84" s="2">
        <v>2100</v>
      </c>
      <c r="B84" s="1" t="s">
        <v>45</v>
      </c>
      <c r="C84" s="2">
        <v>338.52</v>
      </c>
      <c r="D84" s="2">
        <v>317.52</v>
      </c>
      <c r="E84" s="2">
        <v>317.52</v>
      </c>
      <c r="F84" s="2">
        <v>4697.2800000000007</v>
      </c>
      <c r="I84" s="1"/>
    </row>
    <row r="85" spans="1:9" hidden="1">
      <c r="A85" s="2">
        <v>2100</v>
      </c>
      <c r="B85" s="1" t="s">
        <v>46</v>
      </c>
      <c r="C85" s="2">
        <v>87.72</v>
      </c>
      <c r="D85" s="2">
        <v>69.75</v>
      </c>
      <c r="E85" s="2">
        <v>106.94699999999997</v>
      </c>
      <c r="F85" s="2">
        <v>1229.3369999999998</v>
      </c>
      <c r="I85" s="1"/>
    </row>
    <row r="86" spans="1:9" hidden="1">
      <c r="A86" s="2">
        <v>2100</v>
      </c>
      <c r="B86" s="1" t="s">
        <v>40</v>
      </c>
      <c r="C86" s="2">
        <v>1673.76</v>
      </c>
      <c r="D86" s="2">
        <v>1712.73</v>
      </c>
      <c r="E86" s="2">
        <v>1675.53</v>
      </c>
      <c r="F86" s="2">
        <v>23473.379999999997</v>
      </c>
      <c r="I86" s="1"/>
    </row>
    <row r="87" spans="1:9" hidden="1">
      <c r="A87" s="2">
        <v>2200</v>
      </c>
      <c r="B87" s="1" t="s">
        <v>39</v>
      </c>
      <c r="C87" s="2">
        <v>2200</v>
      </c>
      <c r="D87" s="2">
        <v>2200</v>
      </c>
      <c r="E87" s="2">
        <v>2200</v>
      </c>
      <c r="F87" s="2">
        <v>30800</v>
      </c>
      <c r="I87" s="1"/>
    </row>
    <row r="88" spans="1:9" hidden="1">
      <c r="A88" s="2">
        <v>2200</v>
      </c>
      <c r="B88" s="1" t="s">
        <v>45</v>
      </c>
      <c r="C88" s="2">
        <v>354.64</v>
      </c>
      <c r="D88" s="2">
        <v>332.64</v>
      </c>
      <c r="E88" s="2">
        <v>332.64</v>
      </c>
      <c r="F88" s="2">
        <v>4920.9600000000009</v>
      </c>
      <c r="I88" s="1"/>
    </row>
    <row r="89" spans="1:9" hidden="1">
      <c r="A89" s="2">
        <v>2200</v>
      </c>
      <c r="B89" s="1" t="s">
        <v>46</v>
      </c>
      <c r="C89" s="2">
        <v>107.79</v>
      </c>
      <c r="D89" s="2">
        <v>74.84</v>
      </c>
      <c r="E89" s="2">
        <v>112.04259999999999</v>
      </c>
      <c r="F89" s="2">
        <v>1480.3625999999999</v>
      </c>
      <c r="I89" s="1"/>
    </row>
    <row r="90" spans="1:9" hidden="1">
      <c r="A90" s="2">
        <v>2200</v>
      </c>
      <c r="B90" s="1" t="s">
        <v>40</v>
      </c>
      <c r="C90" s="2">
        <v>1737.57</v>
      </c>
      <c r="D90" s="2">
        <v>1792.5200000000002</v>
      </c>
      <c r="E90" s="2">
        <v>1755.32</v>
      </c>
      <c r="F90" s="2">
        <v>24398.68</v>
      </c>
      <c r="I90" s="1"/>
    </row>
    <row r="91" spans="1:9" hidden="1">
      <c r="A91" s="2">
        <v>2300</v>
      </c>
      <c r="B91" s="1" t="s">
        <v>39</v>
      </c>
      <c r="C91" s="2">
        <v>2300</v>
      </c>
      <c r="D91" s="2">
        <v>2300</v>
      </c>
      <c r="E91" s="2">
        <v>2300</v>
      </c>
      <c r="F91" s="2">
        <v>32200</v>
      </c>
      <c r="I91" s="1"/>
    </row>
    <row r="92" spans="1:9" hidden="1">
      <c r="A92" s="2">
        <v>2300</v>
      </c>
      <c r="B92" s="1" t="s">
        <v>45</v>
      </c>
      <c r="C92" s="2">
        <v>393.76</v>
      </c>
      <c r="D92" s="2">
        <v>370.76000000000005</v>
      </c>
      <c r="E92" s="2">
        <v>370.76000000000005</v>
      </c>
      <c r="F92" s="2">
        <v>5466.64</v>
      </c>
      <c r="I92" s="1"/>
    </row>
    <row r="93" spans="1:9" hidden="1">
      <c r="A93" s="2">
        <v>2300</v>
      </c>
      <c r="B93" s="1" t="s">
        <v>46</v>
      </c>
      <c r="C93" s="2">
        <v>126.05</v>
      </c>
      <c r="D93" s="2">
        <v>78.55</v>
      </c>
      <c r="E93" s="2">
        <v>115.7582</v>
      </c>
      <c r="F93" s="2">
        <v>1706.9081999999999</v>
      </c>
      <c r="I93" s="1"/>
    </row>
    <row r="94" spans="1:9" hidden="1">
      <c r="A94" s="2">
        <v>2300</v>
      </c>
      <c r="B94" s="1" t="s">
        <v>40</v>
      </c>
      <c r="C94" s="2">
        <v>1780.19</v>
      </c>
      <c r="D94" s="2">
        <v>1850.69</v>
      </c>
      <c r="E94" s="2">
        <v>1813.48</v>
      </c>
      <c r="F94" s="2">
        <v>25026.449999999997</v>
      </c>
      <c r="I94" s="1"/>
    </row>
    <row r="95" spans="1:9" hidden="1">
      <c r="A95" s="2">
        <v>2400</v>
      </c>
      <c r="B95" s="1" t="s">
        <v>39</v>
      </c>
      <c r="C95" s="2">
        <v>2400</v>
      </c>
      <c r="D95" s="2">
        <v>2400</v>
      </c>
      <c r="E95" s="2">
        <v>2400</v>
      </c>
      <c r="F95" s="2">
        <v>33600</v>
      </c>
      <c r="I95" s="1"/>
    </row>
    <row r="96" spans="1:9" hidden="1">
      <c r="A96" s="2">
        <v>2400</v>
      </c>
      <c r="B96" s="1" t="s">
        <v>45</v>
      </c>
      <c r="C96" s="2">
        <v>410.88</v>
      </c>
      <c r="D96" s="2">
        <v>386.88</v>
      </c>
      <c r="E96" s="2">
        <v>386.88</v>
      </c>
      <c r="F96" s="2">
        <v>5704.32</v>
      </c>
      <c r="I96" s="1"/>
    </row>
    <row r="97" spans="1:9" hidden="1">
      <c r="A97" s="2">
        <v>2400</v>
      </c>
      <c r="B97" s="1" t="s">
        <v>46</v>
      </c>
      <c r="C97" s="2">
        <v>150.91999999999999</v>
      </c>
      <c r="D97" s="2">
        <v>83.59</v>
      </c>
      <c r="E97" s="2">
        <v>120.78379999999996</v>
      </c>
      <c r="F97" s="2">
        <v>2015.4137999999998</v>
      </c>
      <c r="I97" s="1"/>
    </row>
    <row r="98" spans="1:9" hidden="1">
      <c r="A98" s="2">
        <v>2400</v>
      </c>
      <c r="B98" s="1" t="s">
        <v>40</v>
      </c>
      <c r="C98" s="2">
        <v>1838.2</v>
      </c>
      <c r="D98" s="2">
        <v>1929.53</v>
      </c>
      <c r="E98" s="2">
        <v>1892.34</v>
      </c>
      <c r="F98" s="2">
        <v>25880.27</v>
      </c>
      <c r="I98" s="1"/>
    </row>
    <row r="99" spans="1:9" hidden="1">
      <c r="A99" s="2">
        <v>2500</v>
      </c>
      <c r="B99" s="1" t="s">
        <v>39</v>
      </c>
      <c r="C99" s="2">
        <v>2500</v>
      </c>
      <c r="D99" s="2">
        <v>2500</v>
      </c>
      <c r="E99" s="2">
        <v>2500</v>
      </c>
      <c r="F99" s="2">
        <v>35000</v>
      </c>
      <c r="I99" s="1"/>
    </row>
    <row r="100" spans="1:9" hidden="1">
      <c r="A100" s="2">
        <v>2500</v>
      </c>
      <c r="B100" s="1" t="s">
        <v>45</v>
      </c>
      <c r="C100" s="2">
        <v>451.75</v>
      </c>
      <c r="D100" s="2">
        <v>426.75</v>
      </c>
      <c r="E100" s="2">
        <v>426.75</v>
      </c>
      <c r="F100" s="2">
        <v>6274.5</v>
      </c>
      <c r="I100" s="1"/>
    </row>
    <row r="101" spans="1:9" hidden="1">
      <c r="A101" s="2">
        <v>2500</v>
      </c>
      <c r="B101" s="1" t="s">
        <v>46</v>
      </c>
      <c r="C101" s="2">
        <v>168.66</v>
      </c>
      <c r="D101" s="2">
        <v>87.19</v>
      </c>
      <c r="E101" s="2">
        <v>124.39939999999999</v>
      </c>
      <c r="F101" s="2">
        <v>2235.5093999999999</v>
      </c>
      <c r="I101" s="1"/>
    </row>
    <row r="102" spans="1:9" hidden="1">
      <c r="A102" s="2">
        <v>2500</v>
      </c>
      <c r="B102" s="1" t="s">
        <v>40</v>
      </c>
      <c r="C102" s="2">
        <v>1879.59</v>
      </c>
      <c r="D102" s="2">
        <v>1986.06</v>
      </c>
      <c r="E102" s="2">
        <v>1948.85</v>
      </c>
      <c r="F102" s="2">
        <v>26489.989999999998</v>
      </c>
      <c r="I102" s="1"/>
    </row>
    <row r="103" spans="1:9" hidden="1">
      <c r="A103" s="2">
        <v>2600</v>
      </c>
      <c r="B103" s="1" t="s">
        <v>39</v>
      </c>
      <c r="C103" s="2">
        <v>2600</v>
      </c>
      <c r="D103" s="2">
        <v>2600</v>
      </c>
      <c r="E103" s="2">
        <v>2600</v>
      </c>
      <c r="F103" s="2">
        <v>36400</v>
      </c>
      <c r="I103" s="1"/>
    </row>
    <row r="104" spans="1:9" hidden="1">
      <c r="A104" s="2">
        <v>2600</v>
      </c>
      <c r="B104" s="1" t="s">
        <v>45</v>
      </c>
      <c r="C104" s="2">
        <v>469.82</v>
      </c>
      <c r="D104" s="2">
        <v>443.82</v>
      </c>
      <c r="E104" s="2">
        <v>443.82</v>
      </c>
      <c r="F104" s="2">
        <v>6525.48</v>
      </c>
      <c r="I104" s="1"/>
    </row>
    <row r="105" spans="1:9" hidden="1">
      <c r="A105" s="2">
        <v>2600</v>
      </c>
      <c r="B105" s="1" t="s">
        <v>46</v>
      </c>
      <c r="C105" s="2">
        <v>193.23</v>
      </c>
      <c r="D105" s="2">
        <v>92.17</v>
      </c>
      <c r="E105" s="2">
        <v>129.37099999999998</v>
      </c>
      <c r="F105" s="2">
        <v>2540.3009999999999</v>
      </c>
      <c r="I105" s="1"/>
    </row>
    <row r="106" spans="1:9" hidden="1">
      <c r="A106" s="2">
        <v>2600</v>
      </c>
      <c r="B106" s="1" t="s">
        <v>40</v>
      </c>
      <c r="C106" s="2">
        <v>1936.95</v>
      </c>
      <c r="D106" s="2">
        <v>2064.0099999999998</v>
      </c>
      <c r="E106" s="2">
        <v>2026.81</v>
      </c>
      <c r="F106" s="2">
        <v>27334.22</v>
      </c>
      <c r="I106" s="1"/>
    </row>
    <row r="107" spans="1:9" hidden="1">
      <c r="A107" s="2">
        <v>2700</v>
      </c>
      <c r="B107" s="1" t="s">
        <v>39</v>
      </c>
      <c r="C107" s="2">
        <v>2700</v>
      </c>
      <c r="D107" s="2">
        <v>2700</v>
      </c>
      <c r="E107" s="2">
        <v>2700</v>
      </c>
      <c r="F107" s="2">
        <v>37800</v>
      </c>
      <c r="I107" s="1"/>
    </row>
    <row r="108" spans="1:9" hidden="1">
      <c r="A108" s="2">
        <v>2700</v>
      </c>
      <c r="B108" s="1" t="s">
        <v>45</v>
      </c>
      <c r="C108" s="2">
        <v>487.89</v>
      </c>
      <c r="D108" s="2">
        <v>460.89</v>
      </c>
      <c r="E108" s="2">
        <v>460.89</v>
      </c>
      <c r="F108" s="2">
        <v>6776.4600000000009</v>
      </c>
      <c r="I108" s="1"/>
    </row>
    <row r="109" spans="1:9" hidden="1">
      <c r="A109" s="2">
        <v>2700</v>
      </c>
      <c r="B109" s="1" t="s">
        <v>46</v>
      </c>
      <c r="C109" s="2">
        <v>217.81</v>
      </c>
      <c r="D109" s="2">
        <v>97.15</v>
      </c>
      <c r="E109" s="2">
        <v>134.34259999999998</v>
      </c>
      <c r="F109" s="2">
        <v>2845.2126000000003</v>
      </c>
      <c r="I109" s="1"/>
    </row>
    <row r="110" spans="1:9" hidden="1">
      <c r="A110" s="2">
        <v>2700</v>
      </c>
      <c r="B110" s="1" t="s">
        <v>40</v>
      </c>
      <c r="C110" s="2">
        <v>1994.3</v>
      </c>
      <c r="D110" s="2">
        <v>2141.96</v>
      </c>
      <c r="E110" s="2">
        <v>2104.77</v>
      </c>
      <c r="F110" s="2">
        <v>28178.329999999998</v>
      </c>
      <c r="I110" s="1"/>
    </row>
    <row r="111" spans="1:9" hidden="1">
      <c r="A111" s="2">
        <v>2800</v>
      </c>
      <c r="B111" s="1" t="s">
        <v>39</v>
      </c>
      <c r="C111" s="2">
        <v>2800</v>
      </c>
      <c r="D111" s="2">
        <v>2800</v>
      </c>
      <c r="E111" s="2">
        <v>2800</v>
      </c>
      <c r="F111" s="2">
        <v>39200</v>
      </c>
      <c r="I111" s="1"/>
    </row>
    <row r="112" spans="1:9" hidden="1">
      <c r="A112" s="2">
        <v>2800</v>
      </c>
      <c r="B112" s="1" t="s">
        <v>45</v>
      </c>
      <c r="C112" s="2">
        <v>505.96</v>
      </c>
      <c r="D112" s="2">
        <v>477.96</v>
      </c>
      <c r="E112" s="2">
        <v>477.96</v>
      </c>
      <c r="F112" s="2">
        <v>7027.44</v>
      </c>
      <c r="I112" s="1"/>
    </row>
    <row r="113" spans="1:9" hidden="1">
      <c r="A113" s="2">
        <v>2800</v>
      </c>
      <c r="B113" s="1" t="s">
        <v>46</v>
      </c>
      <c r="C113" s="2">
        <v>242.39</v>
      </c>
      <c r="D113" s="2">
        <v>102.12</v>
      </c>
      <c r="E113" s="2">
        <v>139.32419999999996</v>
      </c>
      <c r="F113" s="2">
        <v>3150.1241999999997</v>
      </c>
      <c r="I113" s="1"/>
    </row>
    <row r="114" spans="1:9" hidden="1">
      <c r="A114" s="2">
        <v>2800</v>
      </c>
      <c r="B114" s="1" t="s">
        <v>40</v>
      </c>
      <c r="C114" s="2">
        <v>2051.65</v>
      </c>
      <c r="D114" s="2">
        <v>2219.92</v>
      </c>
      <c r="E114" s="2">
        <v>2182.7199999999998</v>
      </c>
      <c r="F114" s="2">
        <v>29022.440000000002</v>
      </c>
      <c r="I114" s="1"/>
    </row>
    <row r="115" spans="1:9" hidden="1">
      <c r="A115" s="2">
        <v>2900</v>
      </c>
      <c r="B115" s="1" t="s">
        <v>39</v>
      </c>
      <c r="C115" s="2">
        <v>2900</v>
      </c>
      <c r="D115" s="2">
        <v>2900</v>
      </c>
      <c r="E115" s="2">
        <v>2900</v>
      </c>
      <c r="F115" s="2">
        <v>40600</v>
      </c>
      <c r="I115" s="1"/>
    </row>
    <row r="116" spans="1:9" hidden="1">
      <c r="A116" s="2">
        <v>2900</v>
      </c>
      <c r="B116" s="1" t="s">
        <v>45</v>
      </c>
      <c r="C116" s="2">
        <v>524.03</v>
      </c>
      <c r="D116" s="2">
        <v>495.03</v>
      </c>
      <c r="E116" s="2">
        <v>495.03</v>
      </c>
      <c r="F116" s="2">
        <v>7278.4199999999992</v>
      </c>
      <c r="I116" s="1"/>
    </row>
    <row r="117" spans="1:9" hidden="1">
      <c r="A117" s="2">
        <v>2900</v>
      </c>
      <c r="B117" s="1" t="s">
        <v>46</v>
      </c>
      <c r="C117" s="2">
        <v>266.97000000000003</v>
      </c>
      <c r="D117" s="2">
        <v>107.1</v>
      </c>
      <c r="E117" s="2">
        <v>144.29580000000001</v>
      </c>
      <c r="F117" s="2">
        <v>3455.0358000000001</v>
      </c>
      <c r="I117" s="1"/>
    </row>
    <row r="118" spans="1:9" hidden="1">
      <c r="A118" s="2">
        <v>2900</v>
      </c>
      <c r="B118" s="1" t="s">
        <v>40</v>
      </c>
      <c r="C118" s="2">
        <v>2109</v>
      </c>
      <c r="D118" s="2">
        <v>2297.8700000000003</v>
      </c>
      <c r="E118" s="2">
        <v>2260.67</v>
      </c>
      <c r="F118" s="2">
        <v>29866.54</v>
      </c>
      <c r="I118" s="1"/>
    </row>
    <row r="119" spans="1:9" hidden="1">
      <c r="A119" s="2">
        <v>3000</v>
      </c>
      <c r="B119" s="1" t="s">
        <v>39</v>
      </c>
      <c r="C119" s="2">
        <v>3000</v>
      </c>
      <c r="D119" s="2">
        <v>3000</v>
      </c>
      <c r="E119" s="2">
        <v>3000</v>
      </c>
      <c r="F119" s="2">
        <v>42000</v>
      </c>
      <c r="I119" s="1"/>
    </row>
    <row r="120" spans="1:9" hidden="1">
      <c r="A120" s="2">
        <v>3000</v>
      </c>
      <c r="B120" s="1" t="s">
        <v>45</v>
      </c>
      <c r="C120" s="2">
        <v>542.1</v>
      </c>
      <c r="D120" s="2">
        <v>512.1</v>
      </c>
      <c r="E120" s="2">
        <v>512.1</v>
      </c>
      <c r="F120" s="2">
        <v>7529.4000000000015</v>
      </c>
      <c r="I120" s="1"/>
    </row>
    <row r="121" spans="1:9" hidden="1">
      <c r="A121" s="2">
        <v>3000</v>
      </c>
      <c r="B121" s="1" t="s">
        <v>46</v>
      </c>
      <c r="C121" s="2">
        <v>291.55</v>
      </c>
      <c r="D121" s="2">
        <v>112.07</v>
      </c>
      <c r="E121" s="2">
        <v>149.2774</v>
      </c>
      <c r="F121" s="2">
        <v>3759.9474000000005</v>
      </c>
      <c r="I121" s="1"/>
    </row>
    <row r="122" spans="1:9" hidden="1">
      <c r="A122" s="2">
        <v>3000</v>
      </c>
      <c r="B122" s="1" t="s">
        <v>40</v>
      </c>
      <c r="C122" s="2">
        <v>2166.35</v>
      </c>
      <c r="D122" s="2">
        <v>2375.83</v>
      </c>
      <c r="E122" s="2">
        <v>2338.62</v>
      </c>
      <c r="F122" s="2">
        <v>30710.649999999998</v>
      </c>
      <c r="I122" s="1"/>
    </row>
    <row r="123" spans="1:9" hidden="1">
      <c r="A123" s="2">
        <v>3100</v>
      </c>
      <c r="B123" s="1" t="s">
        <v>39</v>
      </c>
      <c r="C123" s="2">
        <v>3100</v>
      </c>
      <c r="D123" s="2">
        <v>3100</v>
      </c>
      <c r="E123" s="2">
        <v>3100</v>
      </c>
      <c r="F123" s="2">
        <v>43400</v>
      </c>
      <c r="I123" s="1"/>
    </row>
    <row r="124" spans="1:9" hidden="1">
      <c r="A124" s="2">
        <v>3100</v>
      </c>
      <c r="B124" s="1" t="s">
        <v>45</v>
      </c>
      <c r="C124" s="2">
        <v>560.16999999999996</v>
      </c>
      <c r="D124" s="2">
        <v>529.16999999999996</v>
      </c>
      <c r="E124" s="2">
        <v>529.16999999999996</v>
      </c>
      <c r="F124" s="2">
        <v>7780.3799999999992</v>
      </c>
      <c r="I124" s="1"/>
    </row>
    <row r="125" spans="1:9" hidden="1">
      <c r="A125" s="2">
        <v>3100</v>
      </c>
      <c r="B125" s="1" t="s">
        <v>46</v>
      </c>
      <c r="C125" s="2">
        <v>316.13</v>
      </c>
      <c r="D125" s="2">
        <v>117.05</v>
      </c>
      <c r="E125" s="2">
        <v>154.24899999999997</v>
      </c>
      <c r="F125" s="2">
        <v>4064.8589999999999</v>
      </c>
      <c r="I125" s="1"/>
    </row>
    <row r="126" spans="1:9" hidden="1">
      <c r="A126" s="2">
        <v>3100</v>
      </c>
      <c r="B126" s="1" t="s">
        <v>40</v>
      </c>
      <c r="C126" s="2">
        <v>2223.6999999999998</v>
      </c>
      <c r="D126" s="2">
        <v>2453.7799999999997</v>
      </c>
      <c r="E126" s="2">
        <v>2416.58</v>
      </c>
      <c r="F126" s="2">
        <v>31554.759999999995</v>
      </c>
      <c r="I126" s="1"/>
    </row>
    <row r="127" spans="1:9" hidden="1">
      <c r="A127" s="2">
        <v>3200</v>
      </c>
      <c r="B127" s="1" t="s">
        <v>39</v>
      </c>
      <c r="C127" s="2">
        <v>3200</v>
      </c>
      <c r="D127" s="2">
        <v>3200</v>
      </c>
      <c r="E127" s="2">
        <v>3200</v>
      </c>
      <c r="F127" s="2">
        <v>44800</v>
      </c>
      <c r="I127" s="1"/>
    </row>
    <row r="128" spans="1:9" hidden="1">
      <c r="A128" s="2">
        <v>3200</v>
      </c>
      <c r="B128" s="1" t="s">
        <v>45</v>
      </c>
      <c r="C128" s="2">
        <v>578.24</v>
      </c>
      <c r="D128" s="2">
        <v>546.24</v>
      </c>
      <c r="E128" s="2">
        <v>546.24</v>
      </c>
      <c r="F128" s="2">
        <v>8031.36</v>
      </c>
      <c r="I128" s="1"/>
    </row>
    <row r="129" spans="1:9" hidden="1">
      <c r="A129" s="2">
        <v>3200</v>
      </c>
      <c r="B129" s="1" t="s">
        <v>46</v>
      </c>
      <c r="C129" s="2">
        <v>340.71</v>
      </c>
      <c r="D129" s="2">
        <v>122.02</v>
      </c>
      <c r="E129" s="2">
        <v>159.23060000000004</v>
      </c>
      <c r="F129" s="2">
        <v>4369.7705999999998</v>
      </c>
      <c r="I129" s="1"/>
    </row>
    <row r="130" spans="1:9" hidden="1">
      <c r="A130" s="2">
        <v>3200</v>
      </c>
      <c r="B130" s="1" t="s">
        <v>40</v>
      </c>
      <c r="C130" s="2">
        <v>2281.0500000000002</v>
      </c>
      <c r="D130" s="2">
        <v>2531.7400000000002</v>
      </c>
      <c r="E130" s="2">
        <v>2494.5300000000002</v>
      </c>
      <c r="F130" s="2">
        <v>32398.870000000003</v>
      </c>
      <c r="I130" s="1"/>
    </row>
    <row r="131" spans="1:9" hidden="1">
      <c r="A131" s="2">
        <v>3300</v>
      </c>
      <c r="B131" s="1" t="s">
        <v>39</v>
      </c>
      <c r="C131" s="2">
        <v>3300</v>
      </c>
      <c r="D131" s="2">
        <v>3300</v>
      </c>
      <c r="E131" s="2">
        <v>3300</v>
      </c>
      <c r="F131" s="2">
        <v>46200</v>
      </c>
      <c r="I131" s="1"/>
    </row>
    <row r="132" spans="1:9" hidden="1">
      <c r="A132" s="2">
        <v>3300</v>
      </c>
      <c r="B132" s="1" t="s">
        <v>45</v>
      </c>
      <c r="C132" s="2">
        <v>596.30999999999995</v>
      </c>
      <c r="D132" s="2">
        <v>563.30999999999995</v>
      </c>
      <c r="E132" s="2">
        <v>563.30999999999995</v>
      </c>
      <c r="F132" s="2">
        <v>8282.3399999999983</v>
      </c>
      <c r="I132" s="1"/>
    </row>
    <row r="133" spans="1:9" hidden="1">
      <c r="A133" s="2">
        <v>3300</v>
      </c>
      <c r="B133" s="1" t="s">
        <v>46</v>
      </c>
      <c r="C133" s="2">
        <v>365.29</v>
      </c>
      <c r="D133" s="2">
        <v>127</v>
      </c>
      <c r="E133" s="2">
        <v>164.2022</v>
      </c>
      <c r="F133" s="2">
        <v>4674.6822000000002</v>
      </c>
      <c r="I133" s="1"/>
    </row>
    <row r="134" spans="1:9" hidden="1">
      <c r="A134" s="2">
        <v>3300</v>
      </c>
      <c r="B134" s="1" t="s">
        <v>40</v>
      </c>
      <c r="C134" s="2">
        <v>2338.4</v>
      </c>
      <c r="D134" s="2">
        <v>2609.69</v>
      </c>
      <c r="E134" s="2">
        <v>2572.4899999999998</v>
      </c>
      <c r="F134" s="2">
        <v>33242.980000000003</v>
      </c>
      <c r="I134" s="1"/>
    </row>
    <row r="135" spans="1:9" hidden="1">
      <c r="A135" s="2">
        <v>3400</v>
      </c>
      <c r="B135" s="1" t="s">
        <v>39</v>
      </c>
      <c r="C135" s="2">
        <v>3400</v>
      </c>
      <c r="D135" s="2">
        <v>3400</v>
      </c>
      <c r="E135" s="2">
        <v>3400</v>
      </c>
      <c r="F135" s="2">
        <v>47600</v>
      </c>
      <c r="I135" s="1"/>
    </row>
    <row r="136" spans="1:9" hidden="1">
      <c r="A136" s="2">
        <v>3400</v>
      </c>
      <c r="B136" s="1" t="s">
        <v>45</v>
      </c>
      <c r="C136" s="2">
        <v>614.38</v>
      </c>
      <c r="D136" s="2">
        <v>580.38</v>
      </c>
      <c r="E136" s="2">
        <v>580.38</v>
      </c>
      <c r="F136" s="2">
        <v>8533.32</v>
      </c>
      <c r="I136" s="1"/>
    </row>
    <row r="137" spans="1:9" hidden="1">
      <c r="A137" s="2">
        <v>3400</v>
      </c>
      <c r="B137" s="1" t="s">
        <v>46</v>
      </c>
      <c r="C137" s="2">
        <v>389.87</v>
      </c>
      <c r="D137" s="2">
        <v>131.97999999999999</v>
      </c>
      <c r="E137" s="2">
        <v>169.1738</v>
      </c>
      <c r="F137" s="2">
        <v>4979.5937999999996</v>
      </c>
      <c r="I137" s="1"/>
    </row>
    <row r="138" spans="1:9" hidden="1">
      <c r="A138" s="2">
        <v>3400</v>
      </c>
      <c r="B138" s="1" t="s">
        <v>40</v>
      </c>
      <c r="C138" s="2">
        <v>2395.75</v>
      </c>
      <c r="D138" s="2">
        <v>2687.64</v>
      </c>
      <c r="E138" s="2">
        <v>2650.45</v>
      </c>
      <c r="F138" s="2">
        <v>34087.089999999997</v>
      </c>
      <c r="I138" s="1"/>
    </row>
    <row r="139" spans="1:9" hidden="1">
      <c r="A139" s="2">
        <v>3500</v>
      </c>
      <c r="B139" s="1" t="s">
        <v>39</v>
      </c>
      <c r="C139" s="2">
        <v>3500</v>
      </c>
      <c r="D139" s="2">
        <v>3500</v>
      </c>
      <c r="E139" s="2">
        <v>3500</v>
      </c>
      <c r="F139" s="2">
        <v>49000</v>
      </c>
      <c r="I139" s="1"/>
    </row>
    <row r="140" spans="1:9" hidden="1">
      <c r="A140" s="2">
        <v>3500</v>
      </c>
      <c r="B140" s="1" t="s">
        <v>45</v>
      </c>
      <c r="C140" s="2">
        <v>632.45000000000005</v>
      </c>
      <c r="D140" s="2">
        <v>597.44999999999993</v>
      </c>
      <c r="E140" s="2">
        <v>597.44999999999993</v>
      </c>
      <c r="F140" s="2">
        <v>8784.3000000000011</v>
      </c>
      <c r="I140" s="1"/>
    </row>
    <row r="141" spans="1:9" hidden="1">
      <c r="A141" s="2">
        <v>3500</v>
      </c>
      <c r="B141" s="1" t="s">
        <v>46</v>
      </c>
      <c r="C141" s="2">
        <v>414.44</v>
      </c>
      <c r="D141" s="2">
        <v>136.94999999999999</v>
      </c>
      <c r="E141" s="2">
        <v>174.15539999999999</v>
      </c>
      <c r="F141" s="2">
        <v>5284.3853999999992</v>
      </c>
      <c r="I141" s="1"/>
    </row>
    <row r="142" spans="1:9" hidden="1">
      <c r="A142" s="2">
        <v>3500</v>
      </c>
      <c r="B142" s="1" t="s">
        <v>40</v>
      </c>
      <c r="C142" s="2">
        <v>2453.11</v>
      </c>
      <c r="D142" s="2">
        <v>2765.6000000000004</v>
      </c>
      <c r="E142" s="2">
        <v>2728.39</v>
      </c>
      <c r="F142" s="2">
        <v>34931.31</v>
      </c>
      <c r="I142" s="1"/>
    </row>
    <row r="143" spans="1:9" hidden="1">
      <c r="A143" s="2">
        <v>3600</v>
      </c>
      <c r="B143" s="1" t="s">
        <v>39</v>
      </c>
      <c r="C143" s="2">
        <v>3600</v>
      </c>
      <c r="D143" s="2">
        <v>3600</v>
      </c>
      <c r="E143" s="2">
        <v>3600</v>
      </c>
      <c r="F143" s="2">
        <v>50400</v>
      </c>
      <c r="I143" s="1"/>
    </row>
    <row r="144" spans="1:9" hidden="1">
      <c r="A144" s="2">
        <v>3600</v>
      </c>
      <c r="B144" s="1" t="s">
        <v>45</v>
      </c>
      <c r="C144" s="2">
        <v>650.52</v>
      </c>
      <c r="D144" s="2">
        <v>614.52</v>
      </c>
      <c r="E144" s="2">
        <v>614.52</v>
      </c>
      <c r="F144" s="2">
        <v>9035.2800000000007</v>
      </c>
      <c r="I144" s="1"/>
    </row>
    <row r="145" spans="1:9" hidden="1">
      <c r="A145" s="2">
        <v>3600</v>
      </c>
      <c r="B145" s="1" t="s">
        <v>46</v>
      </c>
      <c r="C145" s="2">
        <v>439.02</v>
      </c>
      <c r="D145" s="2">
        <v>141.93</v>
      </c>
      <c r="E145" s="2">
        <v>179.12699999999995</v>
      </c>
      <c r="F145" s="2">
        <v>5589.2970000000005</v>
      </c>
      <c r="I145" s="1"/>
    </row>
    <row r="146" spans="1:9" hidden="1">
      <c r="A146" s="2">
        <v>3600</v>
      </c>
      <c r="B146" s="1" t="s">
        <v>40</v>
      </c>
      <c r="C146" s="2">
        <v>2510.46</v>
      </c>
      <c r="D146" s="2">
        <v>2843.55</v>
      </c>
      <c r="E146" s="2">
        <v>2806.35</v>
      </c>
      <c r="F146" s="2">
        <v>35775.42</v>
      </c>
      <c r="I146" s="1"/>
    </row>
    <row r="147" spans="1:9" hidden="1">
      <c r="A147" s="2">
        <v>3700</v>
      </c>
      <c r="B147" s="1" t="s">
        <v>39</v>
      </c>
      <c r="C147" s="2">
        <v>3700</v>
      </c>
      <c r="D147" s="2">
        <v>3700</v>
      </c>
      <c r="E147" s="2">
        <v>3700</v>
      </c>
      <c r="F147" s="2">
        <v>51800</v>
      </c>
      <c r="I147" s="1"/>
    </row>
    <row r="148" spans="1:9" hidden="1">
      <c r="A148" s="2">
        <v>3700</v>
      </c>
      <c r="B148" s="1" t="s">
        <v>45</v>
      </c>
      <c r="C148" s="2">
        <v>668.59</v>
      </c>
      <c r="D148" s="2">
        <v>631.58999999999992</v>
      </c>
      <c r="E148" s="2">
        <v>631.58999999999992</v>
      </c>
      <c r="F148" s="2">
        <v>9286.26</v>
      </c>
      <c r="I148" s="1"/>
    </row>
    <row r="149" spans="1:9" hidden="1">
      <c r="A149" s="2">
        <v>3700</v>
      </c>
      <c r="B149" s="1" t="s">
        <v>46</v>
      </c>
      <c r="C149" s="2">
        <v>467</v>
      </c>
      <c r="D149" s="2">
        <v>146.9</v>
      </c>
      <c r="E149" s="2">
        <v>184.10859999999994</v>
      </c>
      <c r="F149" s="2">
        <v>5935.0085999999992</v>
      </c>
      <c r="I149" s="1"/>
    </row>
    <row r="150" spans="1:9" hidden="1">
      <c r="A150" s="2">
        <v>3700</v>
      </c>
      <c r="B150" s="1" t="s">
        <v>40</v>
      </c>
      <c r="C150" s="2">
        <v>2564.41</v>
      </c>
      <c r="D150" s="2">
        <v>2921.5099999999998</v>
      </c>
      <c r="E150" s="2">
        <v>2884.3</v>
      </c>
      <c r="F150" s="2">
        <v>36578.730000000003</v>
      </c>
      <c r="I150" s="1"/>
    </row>
    <row r="151" spans="1:9" hidden="1">
      <c r="A151" s="2">
        <v>3800</v>
      </c>
      <c r="B151" s="1" t="s">
        <v>39</v>
      </c>
      <c r="C151" s="2">
        <v>3800</v>
      </c>
      <c r="D151" s="2">
        <v>3800</v>
      </c>
      <c r="E151" s="2">
        <v>3800</v>
      </c>
      <c r="F151" s="2">
        <v>53200</v>
      </c>
      <c r="I151" s="1"/>
    </row>
    <row r="152" spans="1:9" hidden="1">
      <c r="A152" s="2">
        <v>3800</v>
      </c>
      <c r="B152" s="1" t="s">
        <v>45</v>
      </c>
      <c r="C152" s="2">
        <v>686.66</v>
      </c>
      <c r="D152" s="2">
        <v>648.66</v>
      </c>
      <c r="E152" s="2">
        <v>648.66</v>
      </c>
      <c r="F152" s="2">
        <v>9537.24</v>
      </c>
      <c r="I152" s="1"/>
    </row>
    <row r="153" spans="1:9" hidden="1">
      <c r="A153" s="2">
        <v>3800</v>
      </c>
      <c r="B153" s="1" t="s">
        <v>46</v>
      </c>
      <c r="C153" s="2">
        <v>499.78</v>
      </c>
      <c r="D153" s="2">
        <v>151.88</v>
      </c>
      <c r="E153" s="2">
        <v>189.08019999999999</v>
      </c>
      <c r="F153" s="2">
        <v>6338.3202000000001</v>
      </c>
      <c r="I153" s="1"/>
    </row>
    <row r="154" spans="1:9" hidden="1">
      <c r="A154" s="2">
        <v>3800</v>
      </c>
      <c r="B154" s="1" t="s">
        <v>40</v>
      </c>
      <c r="C154" s="2">
        <v>2613.56</v>
      </c>
      <c r="D154" s="2">
        <v>2999.46</v>
      </c>
      <c r="E154" s="2">
        <v>2962.26</v>
      </c>
      <c r="F154" s="2">
        <v>37324.44</v>
      </c>
      <c r="I154" s="1"/>
    </row>
    <row r="155" spans="1:9" hidden="1">
      <c r="A155" s="2">
        <v>3900</v>
      </c>
      <c r="B155" s="1" t="s">
        <v>39</v>
      </c>
      <c r="C155" s="2">
        <v>3900</v>
      </c>
      <c r="D155" s="2">
        <v>3900</v>
      </c>
      <c r="E155" s="2">
        <v>3900</v>
      </c>
      <c r="F155" s="2">
        <v>54600</v>
      </c>
      <c r="I155" s="1"/>
    </row>
    <row r="156" spans="1:9" hidden="1">
      <c r="A156" s="2">
        <v>3900</v>
      </c>
      <c r="B156" s="1" t="s">
        <v>45</v>
      </c>
      <c r="C156" s="2">
        <v>704.73</v>
      </c>
      <c r="D156" s="2">
        <v>665.73</v>
      </c>
      <c r="E156" s="2">
        <v>665.73</v>
      </c>
      <c r="F156" s="2">
        <v>9788.2199999999993</v>
      </c>
      <c r="I156" s="1"/>
    </row>
    <row r="157" spans="1:9" hidden="1">
      <c r="A157" s="2">
        <v>3900</v>
      </c>
      <c r="B157" s="1" t="s">
        <v>46</v>
      </c>
      <c r="C157" s="2">
        <v>532.54999999999995</v>
      </c>
      <c r="D157" s="2">
        <v>156.86000000000001</v>
      </c>
      <c r="E157" s="2">
        <v>194.05179999999996</v>
      </c>
      <c r="F157" s="2">
        <v>6741.5117999999993</v>
      </c>
      <c r="I157" s="1"/>
    </row>
    <row r="158" spans="1:9" hidden="1">
      <c r="A158" s="2">
        <v>3900</v>
      </c>
      <c r="B158" s="1" t="s">
        <v>40</v>
      </c>
      <c r="C158" s="2">
        <v>2662.72</v>
      </c>
      <c r="D158" s="2">
        <v>3077.41</v>
      </c>
      <c r="E158" s="2">
        <v>3040.22</v>
      </c>
      <c r="F158" s="2">
        <v>38070.270000000004</v>
      </c>
      <c r="I158" s="1"/>
    </row>
    <row r="159" spans="1:9" hidden="1">
      <c r="A159" s="2">
        <v>4000</v>
      </c>
      <c r="B159" s="1" t="s">
        <v>39</v>
      </c>
      <c r="C159" s="2">
        <v>4000</v>
      </c>
      <c r="D159" s="2">
        <v>4000</v>
      </c>
      <c r="E159" s="2">
        <v>4000</v>
      </c>
      <c r="F159" s="2">
        <v>56000</v>
      </c>
      <c r="I159" s="1"/>
    </row>
    <row r="160" spans="1:9" hidden="1">
      <c r="A160" s="2">
        <v>4000</v>
      </c>
      <c r="B160" s="1" t="s">
        <v>45</v>
      </c>
      <c r="C160" s="2">
        <v>722.8</v>
      </c>
      <c r="D160" s="2">
        <v>682.8</v>
      </c>
      <c r="E160" s="2">
        <v>682.8</v>
      </c>
      <c r="F160" s="2">
        <v>10039.199999999997</v>
      </c>
      <c r="I160" s="1"/>
    </row>
    <row r="161" spans="1:9" hidden="1">
      <c r="A161" s="2">
        <v>4000</v>
      </c>
      <c r="B161" s="1" t="s">
        <v>46</v>
      </c>
      <c r="C161" s="2">
        <v>565.32000000000005</v>
      </c>
      <c r="D161" s="2">
        <v>161.83000000000001</v>
      </c>
      <c r="E161" s="2">
        <v>199.03339999999994</v>
      </c>
      <c r="F161" s="2">
        <v>7144.7034000000003</v>
      </c>
      <c r="I161" s="1"/>
    </row>
    <row r="162" spans="1:9" hidden="1">
      <c r="A162" s="2">
        <v>4000</v>
      </c>
      <c r="B162" s="1" t="s">
        <v>40</v>
      </c>
      <c r="C162" s="2">
        <v>2711.88</v>
      </c>
      <c r="D162" s="2">
        <v>3155.37</v>
      </c>
      <c r="E162" s="2">
        <v>3118.17</v>
      </c>
      <c r="F162" s="2">
        <v>38816.1</v>
      </c>
      <c r="I162" s="1"/>
    </row>
    <row r="163" spans="1:9" hidden="1">
      <c r="A163" s="2">
        <v>4100</v>
      </c>
      <c r="B163" s="1" t="s">
        <v>39</v>
      </c>
      <c r="C163" s="2">
        <v>4100</v>
      </c>
      <c r="D163" s="2">
        <v>4100</v>
      </c>
      <c r="E163" s="2">
        <v>4100</v>
      </c>
      <c r="F163" s="2">
        <v>57400</v>
      </c>
      <c r="I163" s="1"/>
    </row>
    <row r="164" spans="1:9" hidden="1">
      <c r="A164" s="2">
        <v>4100</v>
      </c>
      <c r="B164" s="1" t="s">
        <v>45</v>
      </c>
      <c r="C164" s="2">
        <v>740.87</v>
      </c>
      <c r="D164" s="2">
        <v>699.87</v>
      </c>
      <c r="E164" s="2">
        <v>699.87</v>
      </c>
      <c r="F164" s="2">
        <v>10290.180000000002</v>
      </c>
      <c r="I164" s="1"/>
    </row>
    <row r="165" spans="1:9" hidden="1">
      <c r="A165" s="2">
        <v>4100</v>
      </c>
      <c r="B165" s="1" t="s">
        <v>46</v>
      </c>
      <c r="C165" s="2">
        <v>598.09</v>
      </c>
      <c r="D165" s="2">
        <v>166.81</v>
      </c>
      <c r="E165" s="2">
        <v>204.005</v>
      </c>
      <c r="F165" s="2">
        <v>7547.8950000000004</v>
      </c>
      <c r="I165" s="1"/>
    </row>
    <row r="166" spans="1:9" hidden="1">
      <c r="A166" s="2">
        <v>4100</v>
      </c>
      <c r="B166" s="1" t="s">
        <v>40</v>
      </c>
      <c r="C166" s="2">
        <v>2761.04</v>
      </c>
      <c r="D166" s="2">
        <v>3233.32</v>
      </c>
      <c r="E166" s="2">
        <v>3196.12</v>
      </c>
      <c r="F166" s="2">
        <v>39561.919999999998</v>
      </c>
      <c r="I166" s="1"/>
    </row>
    <row r="167" spans="1:9" hidden="1">
      <c r="A167" s="2">
        <v>4200</v>
      </c>
      <c r="B167" s="1" t="s">
        <v>39</v>
      </c>
      <c r="C167" s="2">
        <v>4200</v>
      </c>
      <c r="D167" s="2">
        <v>4200</v>
      </c>
      <c r="E167" s="2">
        <v>4200</v>
      </c>
      <c r="F167" s="2">
        <v>58800</v>
      </c>
      <c r="I167" s="1"/>
    </row>
    <row r="168" spans="1:9" hidden="1">
      <c r="A168" s="2">
        <v>4200</v>
      </c>
      <c r="B168" s="1" t="s">
        <v>45</v>
      </c>
      <c r="C168" s="2">
        <v>758.94</v>
      </c>
      <c r="D168" s="2">
        <v>716.93999999999994</v>
      </c>
      <c r="E168" s="2">
        <v>716.93999999999994</v>
      </c>
      <c r="F168" s="2">
        <v>10541.160000000002</v>
      </c>
      <c r="I168" s="1"/>
    </row>
    <row r="169" spans="1:9" hidden="1">
      <c r="A169" s="2">
        <v>4200</v>
      </c>
      <c r="B169" s="1" t="s">
        <v>46</v>
      </c>
      <c r="C169" s="2">
        <v>630.86</v>
      </c>
      <c r="D169" s="2">
        <v>171.78</v>
      </c>
      <c r="E169" s="2">
        <v>208.98659999999998</v>
      </c>
      <c r="F169" s="2">
        <v>7951.0865999999996</v>
      </c>
      <c r="I169" s="1"/>
    </row>
    <row r="170" spans="1:9" hidden="1">
      <c r="A170" s="2">
        <v>4200</v>
      </c>
      <c r="B170" s="1" t="s">
        <v>40</v>
      </c>
      <c r="C170" s="2">
        <v>2810.2</v>
      </c>
      <c r="D170" s="2">
        <v>3311.2799999999997</v>
      </c>
      <c r="E170" s="2">
        <v>3274.07</v>
      </c>
      <c r="F170" s="2">
        <v>40307.749999999993</v>
      </c>
      <c r="I170" s="1"/>
    </row>
    <row r="171" spans="1:9" hidden="1">
      <c r="A171" s="2">
        <v>4300</v>
      </c>
      <c r="B171" s="1" t="s">
        <v>39</v>
      </c>
      <c r="C171" s="2">
        <v>4300</v>
      </c>
      <c r="D171" s="2">
        <v>4300</v>
      </c>
      <c r="E171" s="2">
        <v>4300</v>
      </c>
      <c r="F171" s="2">
        <v>60200</v>
      </c>
      <c r="I171" s="1"/>
    </row>
    <row r="172" spans="1:9" hidden="1">
      <c r="A172" s="2">
        <v>4300</v>
      </c>
      <c r="B172" s="1" t="s">
        <v>45</v>
      </c>
      <c r="C172" s="2">
        <v>777.01</v>
      </c>
      <c r="D172" s="2">
        <v>734.01</v>
      </c>
      <c r="E172" s="2">
        <v>734.01</v>
      </c>
      <c r="F172" s="2">
        <v>10792.14</v>
      </c>
      <c r="I172" s="1"/>
    </row>
    <row r="173" spans="1:9" hidden="1">
      <c r="A173" s="2">
        <v>4300</v>
      </c>
      <c r="B173" s="1" t="s">
        <v>46</v>
      </c>
      <c r="C173" s="2">
        <v>663.64</v>
      </c>
      <c r="D173" s="2">
        <v>176.76</v>
      </c>
      <c r="E173" s="2">
        <v>213.95819999999998</v>
      </c>
      <c r="F173" s="2">
        <v>8354.3981999999996</v>
      </c>
      <c r="I173" s="1"/>
    </row>
    <row r="174" spans="1:9" hidden="1">
      <c r="A174" s="2">
        <v>4300</v>
      </c>
      <c r="B174" s="1" t="s">
        <v>40</v>
      </c>
      <c r="C174" s="2">
        <v>2859.35</v>
      </c>
      <c r="D174" s="2">
        <v>3389.2299999999996</v>
      </c>
      <c r="E174" s="2">
        <v>3352.03</v>
      </c>
      <c r="F174" s="2">
        <v>41053.459999999992</v>
      </c>
      <c r="I174" s="1"/>
    </row>
    <row r="175" spans="1:9" hidden="1">
      <c r="A175" s="2">
        <v>4400</v>
      </c>
      <c r="B175" s="1" t="s">
        <v>39</v>
      </c>
      <c r="C175" s="2">
        <v>4400</v>
      </c>
      <c r="D175" s="2">
        <v>4400</v>
      </c>
      <c r="E175" s="2">
        <v>4400</v>
      </c>
      <c r="F175" s="2">
        <v>61600</v>
      </c>
      <c r="I175" s="1"/>
    </row>
    <row r="176" spans="1:9" hidden="1">
      <c r="A176" s="2">
        <v>4400</v>
      </c>
      <c r="B176" s="1" t="s">
        <v>45</v>
      </c>
      <c r="C176" s="2">
        <v>795.08</v>
      </c>
      <c r="D176" s="2">
        <v>751.07999999999993</v>
      </c>
      <c r="E176" s="2">
        <v>751.07999999999993</v>
      </c>
      <c r="F176" s="2">
        <v>11043.12</v>
      </c>
      <c r="I176" s="1"/>
    </row>
    <row r="177" spans="1:9" hidden="1">
      <c r="A177" s="2">
        <v>4400</v>
      </c>
      <c r="B177" s="1" t="s">
        <v>46</v>
      </c>
      <c r="C177" s="2">
        <v>696.41</v>
      </c>
      <c r="D177" s="2">
        <v>181.73</v>
      </c>
      <c r="E177" s="2">
        <v>218.93979999999996</v>
      </c>
      <c r="F177" s="2">
        <v>8757.5897999999997</v>
      </c>
      <c r="I177" s="1"/>
    </row>
    <row r="178" spans="1:9" hidden="1">
      <c r="A178" s="2">
        <v>4400</v>
      </c>
      <c r="B178" s="1" t="s">
        <v>40</v>
      </c>
      <c r="C178" s="2">
        <v>2908.51</v>
      </c>
      <c r="D178" s="2">
        <v>3467.19</v>
      </c>
      <c r="E178" s="2">
        <v>3429.98</v>
      </c>
      <c r="F178" s="2">
        <v>41799.290000000008</v>
      </c>
      <c r="I178" s="1"/>
    </row>
    <row r="179" spans="1:9" hidden="1">
      <c r="A179" s="2">
        <v>4500</v>
      </c>
      <c r="B179" s="1" t="s">
        <v>39</v>
      </c>
      <c r="C179" s="2">
        <v>4500</v>
      </c>
      <c r="D179" s="2">
        <v>4500</v>
      </c>
      <c r="E179" s="2">
        <v>4500</v>
      </c>
      <c r="F179" s="2">
        <v>63000</v>
      </c>
      <c r="I179" s="1"/>
    </row>
    <row r="180" spans="1:9" hidden="1">
      <c r="A180" s="2">
        <v>4500</v>
      </c>
      <c r="B180" s="1" t="s">
        <v>45</v>
      </c>
      <c r="C180" s="2">
        <v>813.15</v>
      </c>
      <c r="D180" s="2">
        <v>768.15</v>
      </c>
      <c r="E180" s="2">
        <v>768.15</v>
      </c>
      <c r="F180" s="2">
        <v>11294.099999999999</v>
      </c>
      <c r="I180" s="1"/>
    </row>
    <row r="181" spans="1:9" hidden="1">
      <c r="A181" s="2">
        <v>4500</v>
      </c>
      <c r="B181" s="1" t="s">
        <v>46</v>
      </c>
      <c r="C181" s="2">
        <v>729.18</v>
      </c>
      <c r="D181" s="2">
        <v>186.71</v>
      </c>
      <c r="E181" s="2">
        <v>223.91139999999993</v>
      </c>
      <c r="F181" s="2">
        <v>9160.781399999998</v>
      </c>
      <c r="I181" s="1"/>
    </row>
    <row r="182" spans="1:9" hidden="1">
      <c r="A182" s="2">
        <v>4500</v>
      </c>
      <c r="B182" s="1" t="s">
        <v>40</v>
      </c>
      <c r="C182" s="2">
        <v>2957.67</v>
      </c>
      <c r="D182" s="2">
        <v>3545.14</v>
      </c>
      <c r="E182" s="2">
        <v>3507.94</v>
      </c>
      <c r="F182" s="2">
        <v>42545.120000000003</v>
      </c>
      <c r="I182" s="1"/>
    </row>
    <row r="183" spans="1:9" hidden="1">
      <c r="A183" s="2">
        <v>4600</v>
      </c>
      <c r="B183" s="1" t="s">
        <v>39</v>
      </c>
      <c r="C183" s="2">
        <v>4600</v>
      </c>
      <c r="D183" s="2">
        <v>4600</v>
      </c>
      <c r="E183" s="2">
        <v>4600</v>
      </c>
      <c r="F183" s="2">
        <v>64400</v>
      </c>
      <c r="I183" s="1"/>
    </row>
    <row r="184" spans="1:9" hidden="1">
      <c r="A184" s="2">
        <v>4600</v>
      </c>
      <c r="B184" s="1" t="s">
        <v>45</v>
      </c>
      <c r="C184" s="2">
        <v>831.22</v>
      </c>
      <c r="D184" s="2">
        <v>785.21999999999991</v>
      </c>
      <c r="E184" s="2">
        <v>785.21999999999991</v>
      </c>
      <c r="F184" s="2">
        <v>11545.079999999998</v>
      </c>
      <c r="I184" s="1"/>
    </row>
    <row r="185" spans="1:9" hidden="1">
      <c r="A185" s="2">
        <v>4600</v>
      </c>
      <c r="B185" s="1" t="s">
        <v>46</v>
      </c>
      <c r="C185" s="2">
        <v>761.95</v>
      </c>
      <c r="D185" s="2">
        <v>191.69</v>
      </c>
      <c r="E185" s="2">
        <v>228.88299999999998</v>
      </c>
      <c r="F185" s="2">
        <v>9563.9730000000018</v>
      </c>
      <c r="I185" s="1"/>
    </row>
    <row r="186" spans="1:9" hidden="1">
      <c r="A186" s="2">
        <v>4600</v>
      </c>
      <c r="B186" s="1" t="s">
        <v>40</v>
      </c>
      <c r="C186" s="2">
        <v>3006.83</v>
      </c>
      <c r="D186" s="2">
        <v>3623.09</v>
      </c>
      <c r="E186" s="2">
        <v>3585.9</v>
      </c>
      <c r="F186" s="2">
        <v>43290.950000000004</v>
      </c>
      <c r="I186" s="1"/>
    </row>
    <row r="187" spans="1:9" hidden="1">
      <c r="A187" s="2">
        <v>4700</v>
      </c>
      <c r="B187" s="1" t="s">
        <v>39</v>
      </c>
      <c r="C187" s="2">
        <v>4700</v>
      </c>
      <c r="D187" s="2">
        <v>4700</v>
      </c>
      <c r="E187" s="2">
        <v>4700</v>
      </c>
      <c r="F187" s="2">
        <v>65800</v>
      </c>
      <c r="I187" s="1"/>
    </row>
    <row r="188" spans="1:9" hidden="1">
      <c r="A188" s="2">
        <v>4700</v>
      </c>
      <c r="B188" s="1" t="s">
        <v>45</v>
      </c>
      <c r="C188" s="2">
        <v>849.29</v>
      </c>
      <c r="D188" s="2">
        <v>802.29</v>
      </c>
      <c r="E188" s="2">
        <v>802.29</v>
      </c>
      <c r="F188" s="2">
        <v>11796.060000000001</v>
      </c>
      <c r="I188" s="1"/>
    </row>
    <row r="189" spans="1:9" hidden="1">
      <c r="A189" s="2">
        <v>4700</v>
      </c>
      <c r="B189" s="1" t="s">
        <v>46</v>
      </c>
      <c r="C189" s="2">
        <v>794.72</v>
      </c>
      <c r="D189" s="2">
        <v>196.66</v>
      </c>
      <c r="E189" s="2">
        <v>233.86459999999997</v>
      </c>
      <c r="F189" s="2">
        <v>9967.1646000000001</v>
      </c>
      <c r="I189" s="1"/>
    </row>
    <row r="190" spans="1:9" hidden="1">
      <c r="A190" s="2">
        <v>4700</v>
      </c>
      <c r="B190" s="1" t="s">
        <v>40</v>
      </c>
      <c r="C190" s="2">
        <v>3055.99</v>
      </c>
      <c r="D190" s="2">
        <v>3701.05</v>
      </c>
      <c r="E190" s="2">
        <v>3663.85</v>
      </c>
      <c r="F190" s="2">
        <v>44036.78</v>
      </c>
      <c r="I190" s="1"/>
    </row>
    <row r="191" spans="1:9" hidden="1">
      <c r="A191" s="2">
        <v>4800</v>
      </c>
      <c r="B191" s="1" t="s">
        <v>39</v>
      </c>
      <c r="C191" s="2">
        <v>4800</v>
      </c>
      <c r="D191" s="2">
        <v>4800</v>
      </c>
      <c r="E191" s="2">
        <v>4800</v>
      </c>
      <c r="F191" s="2">
        <v>67200</v>
      </c>
      <c r="I191" s="1"/>
    </row>
    <row r="192" spans="1:9" hidden="1">
      <c r="A192" s="2">
        <v>4800</v>
      </c>
      <c r="B192" s="1" t="s">
        <v>45</v>
      </c>
      <c r="C192" s="2">
        <v>867.36</v>
      </c>
      <c r="D192" s="2">
        <v>819.3599999999999</v>
      </c>
      <c r="E192" s="2">
        <v>819.3599999999999</v>
      </c>
      <c r="F192" s="2">
        <v>12047.04</v>
      </c>
      <c r="I192" s="1"/>
    </row>
    <row r="193" spans="1:9" hidden="1">
      <c r="A193" s="2">
        <v>4800</v>
      </c>
      <c r="B193" s="1" t="s">
        <v>46</v>
      </c>
      <c r="C193" s="2">
        <v>827.5</v>
      </c>
      <c r="D193" s="2">
        <v>201.64</v>
      </c>
      <c r="E193" s="2">
        <v>238.83620000000002</v>
      </c>
      <c r="F193" s="2">
        <v>10370.476199999999</v>
      </c>
      <c r="I193" s="1"/>
    </row>
    <row r="194" spans="1:9" hidden="1">
      <c r="A194" s="2">
        <v>4800</v>
      </c>
      <c r="B194" s="1" t="s">
        <v>40</v>
      </c>
      <c r="C194" s="2">
        <v>3105.14</v>
      </c>
      <c r="D194" s="2">
        <v>3779.0000000000005</v>
      </c>
      <c r="E194" s="2">
        <v>3741.8</v>
      </c>
      <c r="F194" s="2">
        <v>44782.48</v>
      </c>
      <c r="I194" s="1"/>
    </row>
    <row r="195" spans="1:9" hidden="1">
      <c r="A195" s="2">
        <v>4900</v>
      </c>
      <c r="B195" s="1" t="s">
        <v>39</v>
      </c>
      <c r="C195" s="2">
        <v>4900</v>
      </c>
      <c r="D195" s="2">
        <v>4900</v>
      </c>
      <c r="E195" s="2">
        <v>4900</v>
      </c>
      <c r="F195" s="2">
        <v>68600</v>
      </c>
      <c r="I195" s="1"/>
    </row>
    <row r="196" spans="1:9" hidden="1">
      <c r="A196" s="2">
        <v>4900</v>
      </c>
      <c r="B196" s="1" t="s">
        <v>45</v>
      </c>
      <c r="C196" s="2">
        <v>885.43</v>
      </c>
      <c r="D196" s="2">
        <v>836.43</v>
      </c>
      <c r="E196" s="2">
        <v>836.43</v>
      </c>
      <c r="F196" s="2">
        <v>12298.02</v>
      </c>
      <c r="I196" s="1"/>
    </row>
    <row r="197" spans="1:9" hidden="1">
      <c r="A197" s="2">
        <v>4900</v>
      </c>
      <c r="B197" s="1" t="s">
        <v>46</v>
      </c>
      <c r="C197" s="2">
        <v>860.27</v>
      </c>
      <c r="D197" s="2">
        <v>206.61</v>
      </c>
      <c r="E197" s="2">
        <v>243.81779999999998</v>
      </c>
      <c r="F197" s="2">
        <v>10773.667800000001</v>
      </c>
      <c r="I197" s="1"/>
    </row>
    <row r="198" spans="1:9" hidden="1">
      <c r="A198" s="2">
        <v>4900</v>
      </c>
      <c r="B198" s="1" t="s">
        <v>40</v>
      </c>
      <c r="C198" s="2">
        <v>3154.3</v>
      </c>
      <c r="D198" s="2">
        <v>3856.96</v>
      </c>
      <c r="E198" s="2">
        <v>3819.75</v>
      </c>
      <c r="F198" s="2">
        <v>45528.310000000005</v>
      </c>
      <c r="I198" s="1"/>
    </row>
    <row r="199" spans="1:9" hidden="1">
      <c r="A199" s="2">
        <v>5000</v>
      </c>
      <c r="B199" s="1" t="s">
        <v>39</v>
      </c>
      <c r="C199" s="2">
        <v>5000</v>
      </c>
      <c r="D199" s="2">
        <v>5000</v>
      </c>
      <c r="E199" s="2">
        <v>5000</v>
      </c>
      <c r="F199" s="2">
        <v>70000</v>
      </c>
      <c r="I199" s="1"/>
    </row>
    <row r="200" spans="1:9" hidden="1">
      <c r="A200" s="2">
        <v>5000</v>
      </c>
      <c r="B200" s="1" t="s">
        <v>45</v>
      </c>
      <c r="C200" s="2">
        <v>903.5</v>
      </c>
      <c r="D200" s="2">
        <v>853.5</v>
      </c>
      <c r="E200" s="2">
        <v>853.5</v>
      </c>
      <c r="F200" s="2">
        <v>12549</v>
      </c>
      <c r="I200" s="1"/>
    </row>
    <row r="201" spans="1:9" hidden="1">
      <c r="A201" s="2">
        <v>5000</v>
      </c>
      <c r="B201" s="1" t="s">
        <v>46</v>
      </c>
      <c r="C201" s="2">
        <v>893.04</v>
      </c>
      <c r="D201" s="2">
        <v>211.59</v>
      </c>
      <c r="E201" s="2">
        <v>248.78939999999997</v>
      </c>
      <c r="F201" s="2">
        <v>11176.859399999999</v>
      </c>
      <c r="I201" s="1"/>
    </row>
    <row r="202" spans="1:9" hidden="1">
      <c r="A202" s="2">
        <v>5000</v>
      </c>
      <c r="B202" s="1" t="s">
        <v>40</v>
      </c>
      <c r="C202" s="2">
        <v>3203.46</v>
      </c>
      <c r="D202" s="2">
        <v>3934.91</v>
      </c>
      <c r="E202" s="2">
        <v>3897.71</v>
      </c>
      <c r="F202" s="2">
        <v>46274.140000000007</v>
      </c>
      <c r="I202" s="1"/>
    </row>
    <row r="203" spans="1:9" hidden="1">
      <c r="A203" s="2">
        <v>5100</v>
      </c>
      <c r="B203" s="1" t="s">
        <v>39</v>
      </c>
      <c r="C203" s="2">
        <v>5100</v>
      </c>
      <c r="D203" s="2">
        <v>5100</v>
      </c>
      <c r="E203" s="2">
        <v>5100</v>
      </c>
      <c r="F203" s="2">
        <v>71400</v>
      </c>
      <c r="I203" s="1"/>
    </row>
    <row r="204" spans="1:9" hidden="1">
      <c r="A204" s="2">
        <v>5100</v>
      </c>
      <c r="B204" s="1" t="s">
        <v>45</v>
      </c>
      <c r="C204" s="2">
        <v>921.57</v>
      </c>
      <c r="D204" s="2">
        <v>870.56999999999994</v>
      </c>
      <c r="E204" s="2">
        <v>870.56999999999994</v>
      </c>
      <c r="F204" s="2">
        <v>12799.98</v>
      </c>
      <c r="I204" s="1"/>
    </row>
    <row r="205" spans="1:9" hidden="1">
      <c r="A205" s="2">
        <v>5100</v>
      </c>
      <c r="B205" s="1" t="s">
        <v>46</v>
      </c>
      <c r="C205" s="2">
        <v>925.81</v>
      </c>
      <c r="D205" s="2">
        <v>216.57</v>
      </c>
      <c r="E205" s="2">
        <v>253.76100000000002</v>
      </c>
      <c r="F205" s="2">
        <v>11580.050999999999</v>
      </c>
      <c r="I205" s="1"/>
    </row>
    <row r="206" spans="1:9" hidden="1">
      <c r="A206" s="2">
        <v>5100</v>
      </c>
      <c r="B206" s="1" t="s">
        <v>40</v>
      </c>
      <c r="C206" s="2">
        <v>3252.62</v>
      </c>
      <c r="D206" s="2">
        <v>4012.86</v>
      </c>
      <c r="E206" s="2">
        <v>3975.67</v>
      </c>
      <c r="F206" s="2">
        <v>47019.97</v>
      </c>
      <c r="I206" s="1"/>
    </row>
    <row r="207" spans="1:9" hidden="1">
      <c r="A207" s="2">
        <v>5200</v>
      </c>
      <c r="B207" s="1" t="s">
        <v>39</v>
      </c>
      <c r="C207" s="2">
        <v>5200</v>
      </c>
      <c r="D207" s="2">
        <v>5200</v>
      </c>
      <c r="E207" s="2">
        <v>5200</v>
      </c>
      <c r="F207" s="2">
        <v>72800</v>
      </c>
      <c r="I207" s="1"/>
    </row>
    <row r="208" spans="1:9" hidden="1">
      <c r="A208" s="2">
        <v>5200</v>
      </c>
      <c r="B208" s="1" t="s">
        <v>45</v>
      </c>
      <c r="C208" s="2">
        <v>939.64</v>
      </c>
      <c r="D208" s="2">
        <v>887.64</v>
      </c>
      <c r="E208" s="2">
        <v>887.64</v>
      </c>
      <c r="F208" s="2">
        <v>13050.96</v>
      </c>
      <c r="I208" s="1"/>
    </row>
    <row r="209" spans="1:9" hidden="1">
      <c r="A209" s="2">
        <v>5200</v>
      </c>
      <c r="B209" s="1" t="s">
        <v>46</v>
      </c>
      <c r="C209" s="2">
        <v>958.58</v>
      </c>
      <c r="D209" s="2">
        <v>221.54</v>
      </c>
      <c r="E209" s="2">
        <v>258.74259999999992</v>
      </c>
      <c r="F209" s="2">
        <v>11983.242600000001</v>
      </c>
      <c r="I209" s="1"/>
    </row>
    <row r="210" spans="1:9" hidden="1">
      <c r="A210" s="2">
        <v>5200</v>
      </c>
      <c r="B210" s="1" t="s">
        <v>40</v>
      </c>
      <c r="C210" s="2">
        <v>3301.78</v>
      </c>
      <c r="D210" s="2">
        <v>4090.8199999999997</v>
      </c>
      <c r="E210" s="2">
        <v>4053.62</v>
      </c>
      <c r="F210" s="2">
        <v>47765.8</v>
      </c>
      <c r="I210" s="1"/>
    </row>
    <row r="211" spans="1:9" hidden="1">
      <c r="A211" s="2">
        <v>5300</v>
      </c>
      <c r="B211" s="1" t="s">
        <v>39</v>
      </c>
      <c r="C211" s="2">
        <v>5300</v>
      </c>
      <c r="D211" s="2">
        <v>5300</v>
      </c>
      <c r="E211" s="2">
        <v>5300</v>
      </c>
      <c r="F211" s="2">
        <v>74200</v>
      </c>
      <c r="I211" s="1"/>
    </row>
    <row r="212" spans="1:9" hidden="1">
      <c r="A212" s="2">
        <v>5300</v>
      </c>
      <c r="B212" s="1" t="s">
        <v>45</v>
      </c>
      <c r="C212" s="2">
        <v>957.71</v>
      </c>
      <c r="D212" s="2">
        <v>904.70999999999992</v>
      </c>
      <c r="E212" s="2">
        <v>904.70999999999992</v>
      </c>
      <c r="F212" s="2">
        <v>13301.939999999999</v>
      </c>
      <c r="I212" s="1"/>
    </row>
    <row r="213" spans="1:9" hidden="1">
      <c r="A213" s="2">
        <v>5300</v>
      </c>
      <c r="B213" s="1" t="s">
        <v>46</v>
      </c>
      <c r="C213" s="2">
        <v>991.36</v>
      </c>
      <c r="D213" s="2">
        <v>226.52</v>
      </c>
      <c r="E213" s="2">
        <v>263.71420000000001</v>
      </c>
      <c r="F213" s="2">
        <v>12386.5542</v>
      </c>
      <c r="I213" s="1"/>
    </row>
    <row r="214" spans="1:9" hidden="1">
      <c r="A214" s="2">
        <v>5300</v>
      </c>
      <c r="B214" s="1" t="s">
        <v>40</v>
      </c>
      <c r="C214" s="2">
        <v>3350.93</v>
      </c>
      <c r="D214" s="2">
        <v>4168.7699999999995</v>
      </c>
      <c r="E214" s="2">
        <v>4131.58</v>
      </c>
      <c r="F214" s="2">
        <v>48511.509999999995</v>
      </c>
      <c r="I214" s="1"/>
    </row>
    <row r="215" spans="1:9" hidden="1">
      <c r="A215" s="2">
        <v>5400</v>
      </c>
      <c r="B215" s="1" t="s">
        <v>39</v>
      </c>
      <c r="C215" s="2">
        <v>5400</v>
      </c>
      <c r="D215" s="2">
        <v>5400</v>
      </c>
      <c r="E215" s="2">
        <v>5400</v>
      </c>
      <c r="F215" s="2">
        <v>75600</v>
      </c>
      <c r="I215" s="1"/>
    </row>
    <row r="216" spans="1:9" hidden="1">
      <c r="A216" s="2">
        <v>5400</v>
      </c>
      <c r="B216" s="1" t="s">
        <v>45</v>
      </c>
      <c r="C216" s="2">
        <v>975.78</v>
      </c>
      <c r="D216" s="2">
        <v>921.78</v>
      </c>
      <c r="E216" s="2">
        <v>921.78</v>
      </c>
      <c r="F216" s="2">
        <v>13552.920000000002</v>
      </c>
      <c r="I216" s="1"/>
    </row>
    <row r="217" spans="1:9" hidden="1">
      <c r="A217" s="2">
        <v>5400</v>
      </c>
      <c r="B217" s="1" t="s">
        <v>46</v>
      </c>
      <c r="C217" s="2">
        <v>1024.1300000000001</v>
      </c>
      <c r="D217" s="2">
        <v>231.49</v>
      </c>
      <c r="E217" s="2">
        <v>268.69579999999996</v>
      </c>
      <c r="F217" s="2">
        <v>12789.745800000001</v>
      </c>
      <c r="I217" s="1"/>
    </row>
    <row r="218" spans="1:9" hidden="1">
      <c r="A218" s="2">
        <v>5400</v>
      </c>
      <c r="B218" s="1" t="s">
        <v>40</v>
      </c>
      <c r="C218" s="2">
        <v>3400.09</v>
      </c>
      <c r="D218" s="2">
        <v>4246.7300000000005</v>
      </c>
      <c r="E218" s="2">
        <v>4209.5200000000004</v>
      </c>
      <c r="F218" s="2">
        <v>49257.33</v>
      </c>
      <c r="I218" s="1"/>
    </row>
    <row r="219" spans="1:9" hidden="1">
      <c r="A219" s="2">
        <v>5500</v>
      </c>
      <c r="B219" s="1" t="s">
        <v>39</v>
      </c>
      <c r="C219" s="2">
        <v>5500</v>
      </c>
      <c r="D219" s="2">
        <v>5500</v>
      </c>
      <c r="E219" s="2">
        <v>5500</v>
      </c>
      <c r="F219" s="2">
        <v>77000</v>
      </c>
      <c r="I219" s="1"/>
    </row>
    <row r="220" spans="1:9" hidden="1">
      <c r="A220" s="2">
        <v>5500</v>
      </c>
      <c r="B220" s="1" t="s">
        <v>45</v>
      </c>
      <c r="C220" s="2">
        <v>993.85</v>
      </c>
      <c r="D220" s="2">
        <v>938.84999999999991</v>
      </c>
      <c r="E220" s="2">
        <v>938.84999999999991</v>
      </c>
      <c r="F220" s="2">
        <v>13803.900000000001</v>
      </c>
      <c r="I220" s="1"/>
    </row>
    <row r="221" spans="1:9" hidden="1">
      <c r="A221" s="2">
        <v>5500</v>
      </c>
      <c r="B221" s="1" t="s">
        <v>46</v>
      </c>
      <c r="C221" s="2">
        <v>1056.9000000000001</v>
      </c>
      <c r="D221" s="2">
        <v>236.47</v>
      </c>
      <c r="E221" s="2">
        <v>273.66739999999993</v>
      </c>
      <c r="F221" s="2">
        <v>13192.937400000001</v>
      </c>
      <c r="I221" s="1"/>
    </row>
    <row r="222" spans="1:9" hidden="1">
      <c r="A222" s="2">
        <v>5500</v>
      </c>
      <c r="B222" s="1" t="s">
        <v>40</v>
      </c>
      <c r="C222" s="2">
        <v>3449.25</v>
      </c>
      <c r="D222" s="2">
        <v>4324.6799999999994</v>
      </c>
      <c r="E222" s="2">
        <v>4287.4799999999996</v>
      </c>
      <c r="F222" s="2">
        <v>50003.16</v>
      </c>
      <c r="I222" s="1"/>
    </row>
    <row r="223" spans="1:9" hidden="1">
      <c r="A223" s="2">
        <v>5600</v>
      </c>
      <c r="B223" s="1" t="s">
        <v>39</v>
      </c>
      <c r="C223" s="2">
        <v>5600</v>
      </c>
      <c r="D223" s="2">
        <v>5600</v>
      </c>
      <c r="E223" s="2">
        <v>5600</v>
      </c>
      <c r="F223" s="2">
        <v>78400</v>
      </c>
      <c r="I223" s="1"/>
    </row>
    <row r="224" spans="1:9" hidden="1">
      <c r="A224" s="2">
        <v>5600</v>
      </c>
      <c r="B224" s="1" t="s">
        <v>45</v>
      </c>
      <c r="C224" s="2">
        <v>1011.92</v>
      </c>
      <c r="D224" s="2">
        <v>955.92</v>
      </c>
      <c r="E224" s="2">
        <v>955.92</v>
      </c>
      <c r="F224" s="2">
        <v>14054.88</v>
      </c>
      <c r="I224" s="1"/>
    </row>
    <row r="225" spans="1:9" hidden="1">
      <c r="A225" s="2">
        <v>5600</v>
      </c>
      <c r="B225" s="1" t="s">
        <v>46</v>
      </c>
      <c r="C225" s="2">
        <v>1089.67</v>
      </c>
      <c r="D225" s="2">
        <v>241.44</v>
      </c>
      <c r="E225" s="2">
        <v>278.64899999999994</v>
      </c>
      <c r="F225" s="2">
        <v>13596.129000000001</v>
      </c>
      <c r="I225" s="1"/>
    </row>
    <row r="226" spans="1:9" hidden="1">
      <c r="A226" s="2">
        <v>5600</v>
      </c>
      <c r="B226" s="1" t="s">
        <v>40</v>
      </c>
      <c r="C226" s="2">
        <v>3498.41</v>
      </c>
      <c r="D226" s="2">
        <v>4402.6400000000003</v>
      </c>
      <c r="E226" s="2">
        <v>4365.43</v>
      </c>
      <c r="F226" s="2">
        <v>50748.99</v>
      </c>
      <c r="I226" s="1"/>
    </row>
    <row r="227" spans="1:9" hidden="1">
      <c r="A227" s="2">
        <v>5700</v>
      </c>
      <c r="B227" s="1" t="s">
        <v>39</v>
      </c>
      <c r="C227" s="2">
        <v>5700</v>
      </c>
      <c r="D227" s="2">
        <v>5700</v>
      </c>
      <c r="E227" s="2">
        <v>5700</v>
      </c>
      <c r="F227" s="2">
        <v>79800</v>
      </c>
      <c r="I227" s="1"/>
    </row>
    <row r="228" spans="1:9" hidden="1">
      <c r="A228" s="2">
        <v>5700</v>
      </c>
      <c r="B228" s="1" t="s">
        <v>45</v>
      </c>
      <c r="C228" s="2">
        <v>1029.99</v>
      </c>
      <c r="D228" s="2">
        <v>972.9899999999999</v>
      </c>
      <c r="E228" s="2">
        <v>972.9899999999999</v>
      </c>
      <c r="F228" s="2">
        <v>14305.86</v>
      </c>
      <c r="I228" s="1"/>
    </row>
    <row r="229" spans="1:9" hidden="1">
      <c r="A229" s="2">
        <v>5700</v>
      </c>
      <c r="B229" s="1" t="s">
        <v>46</v>
      </c>
      <c r="C229" s="2">
        <v>1122.44</v>
      </c>
      <c r="D229" s="2">
        <v>246.42</v>
      </c>
      <c r="E229" s="2">
        <v>283.62060000000008</v>
      </c>
      <c r="F229" s="2">
        <v>13999.320600000001</v>
      </c>
      <c r="I229" s="1"/>
    </row>
    <row r="230" spans="1:9" hidden="1">
      <c r="A230" s="2">
        <v>5700</v>
      </c>
      <c r="B230" s="1" t="s">
        <v>40</v>
      </c>
      <c r="C230" s="2">
        <v>3547.57</v>
      </c>
      <c r="D230" s="2">
        <v>4480.59</v>
      </c>
      <c r="E230" s="2">
        <v>4443.3900000000003</v>
      </c>
      <c r="F230" s="2">
        <v>51494.820000000007</v>
      </c>
      <c r="I230" s="1"/>
    </row>
    <row r="231" spans="1:9" hidden="1">
      <c r="A231" s="2">
        <v>5800</v>
      </c>
      <c r="B231" s="1" t="s">
        <v>39</v>
      </c>
      <c r="C231" s="2">
        <v>5800</v>
      </c>
      <c r="D231" s="2">
        <v>5800</v>
      </c>
      <c r="E231" s="2">
        <v>5800</v>
      </c>
      <c r="F231" s="2">
        <v>81200</v>
      </c>
      <c r="I231" s="1"/>
    </row>
    <row r="232" spans="1:9" hidden="1">
      <c r="A232" s="2">
        <v>5800</v>
      </c>
      <c r="B232" s="1" t="s">
        <v>45</v>
      </c>
      <c r="C232" s="2">
        <v>1048.06</v>
      </c>
      <c r="D232" s="2">
        <v>990.06</v>
      </c>
      <c r="E232" s="2">
        <v>990.06</v>
      </c>
      <c r="F232" s="2">
        <v>14556.839999999998</v>
      </c>
      <c r="I232" s="1"/>
    </row>
    <row r="233" spans="1:9" hidden="1">
      <c r="A233" s="2">
        <v>5800</v>
      </c>
      <c r="B233" s="1" t="s">
        <v>46</v>
      </c>
      <c r="C233" s="2">
        <v>1155.22</v>
      </c>
      <c r="D233" s="2">
        <v>251.4</v>
      </c>
      <c r="E233" s="2">
        <v>288.59220000000005</v>
      </c>
      <c r="F233" s="2">
        <v>14402.6322</v>
      </c>
      <c r="I233" s="1"/>
    </row>
    <row r="234" spans="1:9" hidden="1">
      <c r="A234" s="2">
        <v>5800</v>
      </c>
      <c r="B234" s="1" t="s">
        <v>40</v>
      </c>
      <c r="C234" s="2">
        <v>3596.72</v>
      </c>
      <c r="D234" s="2">
        <v>4558.5400000000009</v>
      </c>
      <c r="E234" s="2">
        <v>4521.3500000000004</v>
      </c>
      <c r="F234" s="2">
        <v>52240.53</v>
      </c>
      <c r="I234" s="1"/>
    </row>
    <row r="235" spans="1:9" hidden="1">
      <c r="A235" s="2">
        <v>5900</v>
      </c>
      <c r="B235" s="1" t="s">
        <v>39</v>
      </c>
      <c r="C235" s="2">
        <v>5900</v>
      </c>
      <c r="D235" s="2">
        <v>5900</v>
      </c>
      <c r="E235" s="2">
        <v>5900</v>
      </c>
      <c r="F235" s="2">
        <v>82600</v>
      </c>
      <c r="I235" s="1"/>
    </row>
    <row r="236" spans="1:9" hidden="1">
      <c r="A236" s="2">
        <v>5900</v>
      </c>
      <c r="B236" s="1" t="s">
        <v>45</v>
      </c>
      <c r="C236" s="2">
        <v>1066.1300000000001</v>
      </c>
      <c r="D236" s="2">
        <v>1007.13</v>
      </c>
      <c r="E236" s="2">
        <v>1007.13</v>
      </c>
      <c r="F236" s="2">
        <v>14807.82</v>
      </c>
      <c r="I236" s="1"/>
    </row>
    <row r="237" spans="1:9" hidden="1">
      <c r="A237" s="2">
        <v>5900</v>
      </c>
      <c r="B237" s="1" t="s">
        <v>46</v>
      </c>
      <c r="C237" s="2">
        <v>1187.99</v>
      </c>
      <c r="D237" s="2">
        <v>256.37</v>
      </c>
      <c r="E237" s="2">
        <v>293.57380000000001</v>
      </c>
      <c r="F237" s="2">
        <v>14805.823800000002</v>
      </c>
      <c r="I237" s="1"/>
    </row>
    <row r="238" spans="1:9" hidden="1">
      <c r="A238" s="2">
        <v>5900</v>
      </c>
      <c r="B238" s="1" t="s">
        <v>40</v>
      </c>
      <c r="C238" s="2">
        <v>3645.88</v>
      </c>
      <c r="D238" s="2">
        <v>4636.5</v>
      </c>
      <c r="E238" s="2">
        <v>4599.3</v>
      </c>
      <c r="F238" s="2">
        <v>52986.36</v>
      </c>
      <c r="I238" s="1"/>
    </row>
    <row r="239" spans="1:9" hidden="1">
      <c r="A239" s="2">
        <v>6000</v>
      </c>
      <c r="B239" s="1" t="s">
        <v>39</v>
      </c>
      <c r="C239" s="2">
        <v>6000</v>
      </c>
      <c r="D239" s="2">
        <v>6000</v>
      </c>
      <c r="E239" s="2">
        <v>6000</v>
      </c>
      <c r="F239" s="2">
        <v>84000</v>
      </c>
      <c r="I239" s="1"/>
    </row>
    <row r="240" spans="1:9" hidden="1">
      <c r="A240" s="2">
        <v>6000</v>
      </c>
      <c r="B240" s="1" t="s">
        <v>45</v>
      </c>
      <c r="C240" s="2">
        <v>1084.2</v>
      </c>
      <c r="D240" s="2">
        <v>1024.2</v>
      </c>
      <c r="E240" s="2">
        <v>1024.2</v>
      </c>
      <c r="F240" s="2">
        <v>15058.800000000003</v>
      </c>
      <c r="I240" s="1"/>
    </row>
    <row r="241" spans="1:9" hidden="1">
      <c r="A241" s="2">
        <v>6000</v>
      </c>
      <c r="B241" s="1" t="s">
        <v>46</v>
      </c>
      <c r="C241" s="2">
        <v>1220.76</v>
      </c>
      <c r="D241" s="2">
        <v>261.35000000000002</v>
      </c>
      <c r="E241" s="2">
        <v>298.54539999999997</v>
      </c>
      <c r="F241" s="2">
        <v>15209.0154</v>
      </c>
      <c r="I241" s="1"/>
    </row>
    <row r="242" spans="1:9" hidden="1">
      <c r="A242" s="2">
        <v>6000</v>
      </c>
      <c r="B242" s="1" t="s">
        <v>40</v>
      </c>
      <c r="C242" s="2">
        <v>3695.04</v>
      </c>
      <c r="D242" s="2">
        <v>4714.45</v>
      </c>
      <c r="E242" s="2">
        <v>4677.25</v>
      </c>
      <c r="F242" s="2">
        <v>53732.179999999993</v>
      </c>
      <c r="I242" s="1"/>
    </row>
    <row r="243" spans="1:9" hidden="1">
      <c r="A243" s="2">
        <v>6100</v>
      </c>
      <c r="B243" s="1" t="s">
        <v>39</v>
      </c>
      <c r="C243" s="2">
        <v>6100</v>
      </c>
      <c r="D243" s="2">
        <v>6100</v>
      </c>
      <c r="E243" s="2">
        <v>6100</v>
      </c>
      <c r="F243" s="2">
        <v>85400</v>
      </c>
      <c r="I243" s="1"/>
    </row>
    <row r="244" spans="1:9" hidden="1">
      <c r="A244" s="2">
        <v>6100</v>
      </c>
      <c r="B244" s="1" t="s">
        <v>45</v>
      </c>
      <c r="C244" s="2">
        <v>1102.27</v>
      </c>
      <c r="D244" s="2">
        <v>1041.27</v>
      </c>
      <c r="E244" s="2">
        <v>1041.27</v>
      </c>
      <c r="F244" s="2">
        <v>15309.78</v>
      </c>
      <c r="I244" s="1"/>
    </row>
    <row r="245" spans="1:9" hidden="1">
      <c r="A245" s="2">
        <v>6100</v>
      </c>
      <c r="B245" s="1" t="s">
        <v>46</v>
      </c>
      <c r="C245" s="2">
        <v>1253.53</v>
      </c>
      <c r="D245" s="2">
        <v>266.32</v>
      </c>
      <c r="E245" s="2">
        <v>303.52699999999987</v>
      </c>
      <c r="F245" s="2">
        <v>15612.207</v>
      </c>
      <c r="I245" s="1"/>
    </row>
    <row r="246" spans="1:9" hidden="1">
      <c r="A246" s="2">
        <v>6100</v>
      </c>
      <c r="B246" s="1" t="s">
        <v>40</v>
      </c>
      <c r="C246" s="2">
        <v>3744.2</v>
      </c>
      <c r="D246" s="2">
        <v>4792.41</v>
      </c>
      <c r="E246" s="2">
        <v>4755.2</v>
      </c>
      <c r="F246" s="2">
        <v>54478.009999999995</v>
      </c>
      <c r="I246" s="1"/>
    </row>
    <row r="247" spans="1:9" hidden="1">
      <c r="A247" s="2">
        <v>6200</v>
      </c>
      <c r="B247" s="1" t="s">
        <v>39</v>
      </c>
      <c r="C247" s="2">
        <v>6200</v>
      </c>
      <c r="D247" s="2">
        <v>6200</v>
      </c>
      <c r="E247" s="2">
        <v>6200</v>
      </c>
      <c r="F247" s="2">
        <v>86800</v>
      </c>
      <c r="I247" s="1"/>
    </row>
    <row r="248" spans="1:9" hidden="1">
      <c r="A248" s="2">
        <v>6200</v>
      </c>
      <c r="B248" s="1" t="s">
        <v>45</v>
      </c>
      <c r="C248" s="2">
        <v>1120.3399999999999</v>
      </c>
      <c r="D248" s="2">
        <v>1058.3399999999999</v>
      </c>
      <c r="E248" s="2">
        <v>1058.3399999999999</v>
      </c>
      <c r="F248" s="2">
        <v>15560.759999999998</v>
      </c>
      <c r="I248" s="1"/>
    </row>
    <row r="249" spans="1:9" hidden="1">
      <c r="A249" s="2">
        <v>6200</v>
      </c>
      <c r="B249" s="1" t="s">
        <v>46</v>
      </c>
      <c r="C249" s="2">
        <v>1286.3</v>
      </c>
      <c r="D249" s="2">
        <v>271.3</v>
      </c>
      <c r="E249" s="2">
        <v>308.49859999999995</v>
      </c>
      <c r="F249" s="2">
        <v>16015.398599999999</v>
      </c>
      <c r="I249" s="1"/>
    </row>
    <row r="250" spans="1:9" hidden="1">
      <c r="A250" s="2">
        <v>6200</v>
      </c>
      <c r="B250" s="1" t="s">
        <v>40</v>
      </c>
      <c r="C250" s="2">
        <v>3793.36</v>
      </c>
      <c r="D250" s="2">
        <v>4870.3599999999997</v>
      </c>
      <c r="E250" s="2">
        <v>4833.16</v>
      </c>
      <c r="F250" s="2">
        <v>55223.839999999997</v>
      </c>
      <c r="I250" s="1"/>
    </row>
    <row r="251" spans="1:9" hidden="1">
      <c r="A251" s="2">
        <v>6300</v>
      </c>
      <c r="B251" s="1" t="s">
        <v>39</v>
      </c>
      <c r="C251" s="2">
        <v>6300</v>
      </c>
      <c r="D251" s="2">
        <v>6300</v>
      </c>
      <c r="E251" s="2">
        <v>6300</v>
      </c>
      <c r="F251" s="2">
        <v>88200</v>
      </c>
      <c r="I251" s="1"/>
    </row>
    <row r="252" spans="1:9" hidden="1">
      <c r="A252" s="2">
        <v>6300</v>
      </c>
      <c r="B252" s="1" t="s">
        <v>45</v>
      </c>
      <c r="C252" s="2">
        <v>1138.4100000000001</v>
      </c>
      <c r="D252" s="2">
        <v>1075.4099999999999</v>
      </c>
      <c r="E252" s="2">
        <v>1075.4099999999999</v>
      </c>
      <c r="F252" s="2">
        <v>15811.740000000002</v>
      </c>
      <c r="I252" s="1"/>
    </row>
    <row r="253" spans="1:9" hidden="1">
      <c r="A253" s="2">
        <v>6300</v>
      </c>
      <c r="B253" s="1" t="s">
        <v>46</v>
      </c>
      <c r="C253" s="2">
        <v>1319.08</v>
      </c>
      <c r="D253" s="2">
        <v>276.27</v>
      </c>
      <c r="E253" s="2">
        <v>313.48019999999997</v>
      </c>
      <c r="F253" s="2">
        <v>16418.710200000001</v>
      </c>
      <c r="I253" s="1"/>
    </row>
    <row r="254" spans="1:9" hidden="1">
      <c r="A254" s="2">
        <v>6300</v>
      </c>
      <c r="B254" s="1" t="s">
        <v>40</v>
      </c>
      <c r="C254" s="2">
        <v>3842.51</v>
      </c>
      <c r="D254" s="2">
        <v>4948.32</v>
      </c>
      <c r="E254" s="2">
        <v>4911.1099999999997</v>
      </c>
      <c r="F254" s="2">
        <v>55969.55</v>
      </c>
      <c r="I254" s="1"/>
    </row>
    <row r="255" spans="1:9" hidden="1">
      <c r="A255" s="2">
        <v>6400</v>
      </c>
      <c r="B255" s="1" t="s">
        <v>39</v>
      </c>
      <c r="C255" s="2">
        <v>6400</v>
      </c>
      <c r="D255" s="2">
        <v>6400</v>
      </c>
      <c r="E255" s="2">
        <v>6400</v>
      </c>
      <c r="F255" s="2">
        <v>89600</v>
      </c>
      <c r="I255" s="1"/>
    </row>
    <row r="256" spans="1:9" hidden="1">
      <c r="A256" s="2">
        <v>6400</v>
      </c>
      <c r="B256" s="1" t="s">
        <v>45</v>
      </c>
      <c r="C256" s="2">
        <v>1156.48</v>
      </c>
      <c r="D256" s="2">
        <v>1092.48</v>
      </c>
      <c r="E256" s="2">
        <v>1092.48</v>
      </c>
      <c r="F256" s="2">
        <v>16062.72</v>
      </c>
      <c r="I256" s="1"/>
    </row>
    <row r="257" spans="1:9" hidden="1">
      <c r="A257" s="2">
        <v>6400</v>
      </c>
      <c r="B257" s="1" t="s">
        <v>46</v>
      </c>
      <c r="C257" s="2">
        <v>1351.85</v>
      </c>
      <c r="D257" s="2">
        <v>281.25</v>
      </c>
      <c r="E257" s="2">
        <v>318.45180000000005</v>
      </c>
      <c r="F257" s="2">
        <v>16821.901799999996</v>
      </c>
      <c r="I257" s="1"/>
    </row>
    <row r="258" spans="1:9" hidden="1">
      <c r="A258" s="2">
        <v>6400</v>
      </c>
      <c r="B258" s="1" t="s">
        <v>40</v>
      </c>
      <c r="C258" s="2">
        <v>3891.67</v>
      </c>
      <c r="D258" s="2">
        <v>5026.2700000000004</v>
      </c>
      <c r="E258" s="2">
        <v>4989.07</v>
      </c>
      <c r="F258" s="2">
        <v>56715.38</v>
      </c>
      <c r="I258" s="1"/>
    </row>
    <row r="259" spans="1:9" hidden="1">
      <c r="A259" s="2">
        <v>6500</v>
      </c>
      <c r="B259" s="1" t="s">
        <v>39</v>
      </c>
      <c r="C259" s="2">
        <v>6500</v>
      </c>
      <c r="D259" s="2">
        <v>6500</v>
      </c>
      <c r="E259" s="2">
        <v>6500</v>
      </c>
      <c r="F259" s="2">
        <v>91000</v>
      </c>
      <c r="I259" s="1"/>
    </row>
    <row r="260" spans="1:9" hidden="1">
      <c r="A260" s="2">
        <v>6500</v>
      </c>
      <c r="B260" s="1" t="s">
        <v>45</v>
      </c>
      <c r="C260" s="2">
        <v>1165.52</v>
      </c>
      <c r="D260" s="2">
        <v>1109.55</v>
      </c>
      <c r="E260" s="2">
        <v>1092.48</v>
      </c>
      <c r="F260" s="2">
        <v>16188.269999999999</v>
      </c>
      <c r="I260" s="1"/>
    </row>
    <row r="261" spans="1:9" hidden="1">
      <c r="A261" s="2">
        <v>6500</v>
      </c>
      <c r="B261" s="1" t="s">
        <v>46</v>
      </c>
      <c r="C261" s="2">
        <v>1388.23</v>
      </c>
      <c r="D261" s="2">
        <v>286.23</v>
      </c>
      <c r="E261" s="2">
        <v>324.44759999999997</v>
      </c>
      <c r="F261" s="2">
        <v>17269.437600000001</v>
      </c>
      <c r="I261" s="1"/>
    </row>
    <row r="262" spans="1:9" hidden="1">
      <c r="A262" s="2">
        <v>6500</v>
      </c>
      <c r="B262" s="1" t="s">
        <v>40</v>
      </c>
      <c r="C262" s="2">
        <v>3946.25</v>
      </c>
      <c r="D262" s="2">
        <v>5104.2199999999993</v>
      </c>
      <c r="E262" s="2">
        <v>5083.07</v>
      </c>
      <c r="F262" s="2">
        <v>57542.29</v>
      </c>
      <c r="I262" s="1"/>
    </row>
    <row r="263" spans="1:9" hidden="1">
      <c r="A263" s="2">
        <v>6600</v>
      </c>
      <c r="B263" s="1" t="s">
        <v>39</v>
      </c>
      <c r="C263" s="2">
        <v>6600</v>
      </c>
      <c r="D263" s="2">
        <v>6600</v>
      </c>
      <c r="E263" s="2">
        <v>6600</v>
      </c>
      <c r="F263" s="2">
        <v>92400</v>
      </c>
      <c r="I263" s="1"/>
    </row>
    <row r="264" spans="1:9" hidden="1">
      <c r="A264" s="2">
        <v>6600</v>
      </c>
      <c r="B264" s="1" t="s">
        <v>45</v>
      </c>
      <c r="C264" s="2">
        <v>1165.52</v>
      </c>
      <c r="D264" s="2">
        <v>1126.6199999999999</v>
      </c>
      <c r="E264" s="2">
        <v>1075.4099999999999</v>
      </c>
      <c r="F264" s="2">
        <v>16188.27</v>
      </c>
      <c r="I264" s="1"/>
    </row>
    <row r="265" spans="1:9" hidden="1">
      <c r="A265" s="2">
        <v>6600</v>
      </c>
      <c r="B265" s="1" t="s">
        <v>46</v>
      </c>
      <c r="C265" s="2">
        <v>1428.23</v>
      </c>
      <c r="D265" s="2">
        <v>291.2</v>
      </c>
      <c r="E265" s="2">
        <v>331.4776</v>
      </c>
      <c r="F265" s="2">
        <v>17761.437600000001</v>
      </c>
      <c r="I265" s="1"/>
    </row>
    <row r="266" spans="1:9" hidden="1">
      <c r="A266" s="2">
        <v>6600</v>
      </c>
      <c r="B266" s="1" t="s">
        <v>40</v>
      </c>
      <c r="C266" s="2">
        <v>4006.25</v>
      </c>
      <c r="D266" s="2">
        <v>5182.18</v>
      </c>
      <c r="E266" s="2">
        <v>5193.1099999999997</v>
      </c>
      <c r="F266" s="2">
        <v>58450.29</v>
      </c>
      <c r="I266" s="1"/>
    </row>
    <row r="267" spans="1:9" hidden="1">
      <c r="A267" s="2">
        <v>6700</v>
      </c>
      <c r="B267" s="1" t="s">
        <v>39</v>
      </c>
      <c r="C267" s="2">
        <v>6700</v>
      </c>
      <c r="D267" s="2">
        <v>6700</v>
      </c>
      <c r="E267" s="2">
        <v>6700</v>
      </c>
      <c r="F267" s="2">
        <v>93800</v>
      </c>
      <c r="I267" s="1"/>
    </row>
    <row r="268" spans="1:9" hidden="1">
      <c r="A268" s="2">
        <v>6700</v>
      </c>
      <c r="B268" s="1" t="s">
        <v>45</v>
      </c>
      <c r="C268" s="2">
        <v>1165.52</v>
      </c>
      <c r="D268" s="2">
        <v>1143.6899999999998</v>
      </c>
      <c r="E268" s="2">
        <v>1058.3399999999999</v>
      </c>
      <c r="F268" s="2">
        <v>16188.27</v>
      </c>
      <c r="I268" s="1"/>
    </row>
    <row r="269" spans="1:9" hidden="1">
      <c r="A269" s="2">
        <v>6700</v>
      </c>
      <c r="B269" s="1" t="s">
        <v>46</v>
      </c>
      <c r="C269" s="2">
        <v>1468.23</v>
      </c>
      <c r="D269" s="2">
        <v>296.18</v>
      </c>
      <c r="E269" s="2">
        <v>338.49759999999998</v>
      </c>
      <c r="F269" s="2">
        <v>18253.437600000001</v>
      </c>
      <c r="I269" s="1"/>
    </row>
    <row r="270" spans="1:9" hidden="1">
      <c r="A270" s="2">
        <v>6700</v>
      </c>
      <c r="B270" s="1" t="s">
        <v>40</v>
      </c>
      <c r="C270" s="2">
        <v>4066.25</v>
      </c>
      <c r="D270" s="2">
        <v>5260.13</v>
      </c>
      <c r="E270" s="2">
        <v>5303.16</v>
      </c>
      <c r="F270" s="2">
        <v>59358.289999999994</v>
      </c>
      <c r="I270" s="1"/>
    </row>
    <row r="271" spans="1:9" hidden="1">
      <c r="A271" s="2">
        <v>6800</v>
      </c>
      <c r="B271" s="1" t="s">
        <v>39</v>
      </c>
      <c r="C271" s="2">
        <v>6800</v>
      </c>
      <c r="D271" s="2">
        <v>6800</v>
      </c>
      <c r="E271" s="2">
        <v>6800</v>
      </c>
      <c r="F271" s="2">
        <v>95200</v>
      </c>
      <c r="I271" s="1"/>
    </row>
    <row r="272" spans="1:9" hidden="1">
      <c r="A272" s="2">
        <v>6800</v>
      </c>
      <c r="B272" s="1" t="s">
        <v>45</v>
      </c>
      <c r="C272" s="2">
        <v>1165.52</v>
      </c>
      <c r="D272" s="2">
        <v>1160.76</v>
      </c>
      <c r="E272" s="2">
        <v>1041.27</v>
      </c>
      <c r="F272" s="2">
        <v>16188.27</v>
      </c>
      <c r="I272" s="1"/>
    </row>
    <row r="273" spans="1:9" hidden="1">
      <c r="A273" s="2">
        <v>6800</v>
      </c>
      <c r="B273" s="1" t="s">
        <v>46</v>
      </c>
      <c r="C273" s="2">
        <v>1508.23</v>
      </c>
      <c r="D273" s="2">
        <v>301.14999999999998</v>
      </c>
      <c r="E273" s="2">
        <v>345.52759999999989</v>
      </c>
      <c r="F273" s="2">
        <v>18745.437600000005</v>
      </c>
      <c r="I273" s="1"/>
    </row>
    <row r="274" spans="1:9" hidden="1">
      <c r="A274" s="2">
        <v>6800</v>
      </c>
      <c r="B274" s="1" t="s">
        <v>40</v>
      </c>
      <c r="C274" s="2">
        <v>4126.25</v>
      </c>
      <c r="D274" s="2">
        <v>5338.09</v>
      </c>
      <c r="E274" s="2">
        <v>5413.2</v>
      </c>
      <c r="F274" s="2">
        <v>60266.289999999994</v>
      </c>
      <c r="I274" s="1"/>
    </row>
    <row r="275" spans="1:9" hidden="1">
      <c r="A275" s="2">
        <v>6900</v>
      </c>
      <c r="B275" s="1" t="s">
        <v>39</v>
      </c>
      <c r="C275" s="2">
        <v>6900</v>
      </c>
      <c r="D275" s="2">
        <v>6900</v>
      </c>
      <c r="E275" s="2">
        <v>6900</v>
      </c>
      <c r="F275" s="2">
        <v>96600</v>
      </c>
      <c r="I275" s="1"/>
    </row>
    <row r="276" spans="1:9" hidden="1">
      <c r="A276" s="2">
        <v>6900</v>
      </c>
      <c r="B276" s="1" t="s">
        <v>45</v>
      </c>
      <c r="C276" s="2">
        <v>1165.52</v>
      </c>
      <c r="D276" s="2">
        <v>1177.83</v>
      </c>
      <c r="E276" s="2">
        <v>1024.2</v>
      </c>
      <c r="F276" s="2">
        <v>16188.27</v>
      </c>
      <c r="I276" s="1"/>
    </row>
    <row r="277" spans="1:9" hidden="1">
      <c r="A277" s="2">
        <v>6900</v>
      </c>
      <c r="B277" s="1" t="s">
        <v>46</v>
      </c>
      <c r="C277" s="2">
        <v>1548.23</v>
      </c>
      <c r="D277" s="2">
        <v>306.13</v>
      </c>
      <c r="E277" s="2">
        <v>352.54759999999999</v>
      </c>
      <c r="F277" s="2">
        <v>19237.437600000005</v>
      </c>
      <c r="I277" s="1"/>
    </row>
    <row r="278" spans="1:9" hidden="1">
      <c r="A278" s="2">
        <v>6900</v>
      </c>
      <c r="B278" s="1" t="s">
        <v>40</v>
      </c>
      <c r="C278" s="2">
        <v>4186.25</v>
      </c>
      <c r="D278" s="2">
        <v>5416.04</v>
      </c>
      <c r="E278" s="2">
        <v>5523.25</v>
      </c>
      <c r="F278" s="2">
        <v>61174.29</v>
      </c>
      <c r="I278" s="1"/>
    </row>
    <row r="279" spans="1:9" hidden="1">
      <c r="A279" s="2">
        <v>7000</v>
      </c>
      <c r="B279" s="1" t="s">
        <v>39</v>
      </c>
      <c r="C279" s="2">
        <v>7000</v>
      </c>
      <c r="D279" s="2">
        <v>7000</v>
      </c>
      <c r="E279" s="2">
        <v>7000</v>
      </c>
      <c r="F279" s="2">
        <v>98000</v>
      </c>
      <c r="I279" s="1"/>
    </row>
    <row r="280" spans="1:9" hidden="1">
      <c r="A280" s="2">
        <v>7000</v>
      </c>
      <c r="B280" s="1" t="s">
        <v>45</v>
      </c>
      <c r="C280" s="2">
        <v>1165.52</v>
      </c>
      <c r="D280" s="2">
        <v>1194.8999999999999</v>
      </c>
      <c r="E280" s="2">
        <v>1007.13</v>
      </c>
      <c r="F280" s="2">
        <v>16188.269999999999</v>
      </c>
      <c r="I280" s="1"/>
    </row>
    <row r="281" spans="1:9" hidden="1">
      <c r="A281" s="2">
        <v>7000</v>
      </c>
      <c r="B281" s="1" t="s">
        <v>46</v>
      </c>
      <c r="C281" s="2">
        <v>1593.01</v>
      </c>
      <c r="D281" s="2">
        <v>311.11</v>
      </c>
      <c r="E281" s="2">
        <v>359.56759999999997</v>
      </c>
      <c r="F281" s="2">
        <v>19786.797599999998</v>
      </c>
      <c r="I281" s="1"/>
    </row>
    <row r="282" spans="1:9" hidden="1">
      <c r="A282" s="2">
        <v>7000</v>
      </c>
      <c r="B282" s="1" t="s">
        <v>40</v>
      </c>
      <c r="C282" s="2">
        <v>4241.47</v>
      </c>
      <c r="D282" s="2">
        <v>5493.9900000000007</v>
      </c>
      <c r="E282" s="2">
        <v>5633.3</v>
      </c>
      <c r="F282" s="2">
        <v>62024.93</v>
      </c>
      <c r="I282" s="1"/>
    </row>
    <row r="283" spans="1:9" hidden="1">
      <c r="A283" s="2">
        <v>7100</v>
      </c>
      <c r="B283" s="1" t="s">
        <v>39</v>
      </c>
      <c r="C283" s="2">
        <v>7100</v>
      </c>
      <c r="D283" s="2">
        <v>7100</v>
      </c>
      <c r="E283" s="2">
        <v>7100</v>
      </c>
      <c r="F283" s="2">
        <v>99400</v>
      </c>
      <c r="I283" s="1"/>
    </row>
    <row r="284" spans="1:9" hidden="1">
      <c r="A284" s="2">
        <v>7100</v>
      </c>
      <c r="B284" s="1" t="s">
        <v>45</v>
      </c>
      <c r="C284" s="2">
        <v>1165.52</v>
      </c>
      <c r="D284" s="2">
        <v>1211.97</v>
      </c>
      <c r="E284" s="2">
        <v>990.06</v>
      </c>
      <c r="F284" s="2">
        <v>16188.269999999999</v>
      </c>
      <c r="I284" s="1"/>
    </row>
    <row r="285" spans="1:9" hidden="1">
      <c r="A285" s="2">
        <v>7100</v>
      </c>
      <c r="B285" s="1" t="s">
        <v>46</v>
      </c>
      <c r="C285" s="2">
        <v>1641.01</v>
      </c>
      <c r="D285" s="2">
        <v>316.08</v>
      </c>
      <c r="E285" s="2">
        <v>366.5976</v>
      </c>
      <c r="F285" s="2">
        <v>20374.797600000002</v>
      </c>
      <c r="I285" s="1"/>
    </row>
    <row r="286" spans="1:9" hidden="1">
      <c r="A286" s="2">
        <v>7100</v>
      </c>
      <c r="B286" s="1" t="s">
        <v>40</v>
      </c>
      <c r="C286" s="2">
        <v>4293.47</v>
      </c>
      <c r="D286" s="2">
        <v>5571.95</v>
      </c>
      <c r="E286" s="2">
        <v>5743.34</v>
      </c>
      <c r="F286" s="2">
        <v>62836.929999999993</v>
      </c>
      <c r="I286" s="1"/>
    </row>
    <row r="287" spans="1:9" hidden="1">
      <c r="A287" s="2">
        <v>7200</v>
      </c>
      <c r="B287" s="1" t="s">
        <v>39</v>
      </c>
      <c r="C287" s="2">
        <v>7200</v>
      </c>
      <c r="D287" s="2">
        <v>7200</v>
      </c>
      <c r="E287" s="2">
        <v>7200</v>
      </c>
      <c r="F287" s="2">
        <v>100800</v>
      </c>
      <c r="I287" s="1"/>
    </row>
    <row r="288" spans="1:9" hidden="1">
      <c r="A288" s="2">
        <v>7200</v>
      </c>
      <c r="B288" s="1" t="s">
        <v>45</v>
      </c>
      <c r="C288" s="2">
        <v>1165.52</v>
      </c>
      <c r="D288" s="2">
        <v>1229.04</v>
      </c>
      <c r="E288" s="2">
        <v>972.9899999999999</v>
      </c>
      <c r="F288" s="2">
        <v>16188.269999999999</v>
      </c>
      <c r="I288" s="1"/>
    </row>
    <row r="289" spans="1:9" hidden="1">
      <c r="A289" s="2">
        <v>7200</v>
      </c>
      <c r="B289" s="1" t="s">
        <v>46</v>
      </c>
      <c r="C289" s="2">
        <v>1689.01</v>
      </c>
      <c r="D289" s="2">
        <v>321.06</v>
      </c>
      <c r="E289" s="2">
        <v>373.61759999999998</v>
      </c>
      <c r="F289" s="2">
        <v>20962.797600000002</v>
      </c>
      <c r="I289" s="1"/>
    </row>
    <row r="290" spans="1:9" hidden="1">
      <c r="A290" s="2">
        <v>7200</v>
      </c>
      <c r="B290" s="1" t="s">
        <v>40</v>
      </c>
      <c r="C290" s="2">
        <v>4345.47</v>
      </c>
      <c r="D290" s="2">
        <v>5649.9</v>
      </c>
      <c r="E290" s="2">
        <v>5853.39</v>
      </c>
      <c r="F290" s="2">
        <v>63648.93</v>
      </c>
      <c r="I290" s="1"/>
    </row>
    <row r="291" spans="1:9" hidden="1">
      <c r="A291" s="2">
        <v>7300</v>
      </c>
      <c r="B291" s="1" t="s">
        <v>39</v>
      </c>
      <c r="C291" s="2">
        <v>7300</v>
      </c>
      <c r="D291" s="2">
        <v>7300</v>
      </c>
      <c r="E291" s="2">
        <v>7300</v>
      </c>
      <c r="F291" s="2">
        <v>102200</v>
      </c>
      <c r="I291" s="1"/>
    </row>
    <row r="292" spans="1:9" hidden="1">
      <c r="A292" s="2">
        <v>7300</v>
      </c>
      <c r="B292" s="1" t="s">
        <v>45</v>
      </c>
      <c r="C292" s="2">
        <v>1165.52</v>
      </c>
      <c r="D292" s="2">
        <v>1246.1099999999999</v>
      </c>
      <c r="E292" s="2">
        <v>955.92</v>
      </c>
      <c r="F292" s="2">
        <v>16188.27</v>
      </c>
      <c r="I292" s="1"/>
    </row>
    <row r="293" spans="1:9" hidden="1">
      <c r="A293" s="2">
        <v>7300</v>
      </c>
      <c r="B293" s="1" t="s">
        <v>46</v>
      </c>
      <c r="C293" s="2">
        <v>1737.01</v>
      </c>
      <c r="D293" s="2">
        <v>326.02999999999997</v>
      </c>
      <c r="E293" s="2">
        <v>380.64760000000001</v>
      </c>
      <c r="F293" s="2">
        <v>21550.797599999998</v>
      </c>
      <c r="I293" s="1"/>
    </row>
    <row r="294" spans="1:9" hidden="1">
      <c r="A294" s="2">
        <v>7300</v>
      </c>
      <c r="B294" s="1" t="s">
        <v>40</v>
      </c>
      <c r="C294" s="2">
        <v>4397.47</v>
      </c>
      <c r="D294" s="2">
        <v>5727.8600000000006</v>
      </c>
      <c r="E294" s="2">
        <v>5963.43</v>
      </c>
      <c r="F294" s="2">
        <v>64460.93</v>
      </c>
      <c r="I294" s="1"/>
    </row>
    <row r="295" spans="1:9" hidden="1">
      <c r="A295" s="2">
        <v>7400</v>
      </c>
      <c r="B295" s="1" t="s">
        <v>39</v>
      </c>
      <c r="C295" s="2">
        <v>7400</v>
      </c>
      <c r="D295" s="2">
        <v>7400</v>
      </c>
      <c r="E295" s="2">
        <v>7400</v>
      </c>
      <c r="F295" s="2">
        <v>103600</v>
      </c>
      <c r="I295" s="1"/>
    </row>
    <row r="296" spans="1:9" hidden="1">
      <c r="A296" s="2">
        <v>7400</v>
      </c>
      <c r="B296" s="1" t="s">
        <v>45</v>
      </c>
      <c r="C296" s="2">
        <v>1165.52</v>
      </c>
      <c r="D296" s="2">
        <v>1263.1799999999998</v>
      </c>
      <c r="E296" s="2">
        <v>938.84999999999991</v>
      </c>
      <c r="F296" s="2">
        <v>16188.27</v>
      </c>
      <c r="I296" s="1"/>
    </row>
    <row r="297" spans="1:9" hidden="1">
      <c r="A297" s="2">
        <v>7400</v>
      </c>
      <c r="B297" s="1" t="s">
        <v>46</v>
      </c>
      <c r="C297" s="2">
        <v>1785.01</v>
      </c>
      <c r="D297" s="2">
        <v>331.01</v>
      </c>
      <c r="E297" s="2">
        <v>387.66759999999988</v>
      </c>
      <c r="F297" s="2">
        <v>22138.797599999998</v>
      </c>
      <c r="I297" s="1"/>
    </row>
    <row r="298" spans="1:9" hidden="1">
      <c r="A298" s="2">
        <v>7400</v>
      </c>
      <c r="B298" s="1" t="s">
        <v>40</v>
      </c>
      <c r="C298" s="2">
        <v>4449.47</v>
      </c>
      <c r="D298" s="2">
        <v>5805.8099999999995</v>
      </c>
      <c r="E298" s="2">
        <v>6073.48</v>
      </c>
      <c r="F298" s="2">
        <v>65272.929999999993</v>
      </c>
      <c r="I298" s="1"/>
    </row>
    <row r="299" spans="1:9" hidden="1">
      <c r="A299" s="2">
        <v>7500</v>
      </c>
      <c r="B299" s="1" t="s">
        <v>39</v>
      </c>
      <c r="C299" s="2">
        <v>7500</v>
      </c>
      <c r="D299" s="2">
        <v>7500</v>
      </c>
      <c r="E299" s="2">
        <v>7500</v>
      </c>
      <c r="F299" s="2">
        <v>105000</v>
      </c>
      <c r="I299" s="1"/>
    </row>
    <row r="300" spans="1:9" hidden="1">
      <c r="A300" s="2">
        <v>7500</v>
      </c>
      <c r="B300" s="1" t="s">
        <v>45</v>
      </c>
      <c r="C300" s="2">
        <v>1165.52</v>
      </c>
      <c r="D300" s="2">
        <v>1280.25</v>
      </c>
      <c r="E300" s="2">
        <v>921.78</v>
      </c>
      <c r="F300" s="2">
        <v>16188.27</v>
      </c>
      <c r="I300" s="1"/>
    </row>
    <row r="301" spans="1:9" hidden="1">
      <c r="A301" s="2">
        <v>7500</v>
      </c>
      <c r="B301" s="1" t="s">
        <v>46</v>
      </c>
      <c r="C301" s="2">
        <v>1833.01</v>
      </c>
      <c r="D301" s="2">
        <v>335.98</v>
      </c>
      <c r="E301" s="2">
        <v>394.69759999999997</v>
      </c>
      <c r="F301" s="2">
        <v>22726.797599999998</v>
      </c>
      <c r="I301" s="1"/>
    </row>
    <row r="302" spans="1:9" hidden="1">
      <c r="A302" s="2">
        <v>7500</v>
      </c>
      <c r="B302" s="1" t="s">
        <v>40</v>
      </c>
      <c r="C302" s="2">
        <v>4501.47</v>
      </c>
      <c r="D302" s="2">
        <v>5883.77</v>
      </c>
      <c r="E302" s="2">
        <v>6183.52</v>
      </c>
      <c r="F302" s="2">
        <v>66084.930000000008</v>
      </c>
      <c r="I302" s="1"/>
    </row>
    <row r="303" spans="1:9" hidden="1">
      <c r="A303" s="2">
        <v>7600</v>
      </c>
      <c r="B303" s="1" t="s">
        <v>39</v>
      </c>
      <c r="C303" s="2">
        <v>7600</v>
      </c>
      <c r="D303" s="2">
        <v>7600</v>
      </c>
      <c r="E303" s="2">
        <v>7600</v>
      </c>
      <c r="F303" s="2">
        <v>106400</v>
      </c>
      <c r="I303" s="1"/>
    </row>
    <row r="304" spans="1:9" hidden="1">
      <c r="A304" s="2">
        <v>7600</v>
      </c>
      <c r="B304" s="1" t="s">
        <v>45</v>
      </c>
      <c r="C304" s="2">
        <v>1165.52</v>
      </c>
      <c r="D304" s="2">
        <v>1297.32</v>
      </c>
      <c r="E304" s="2">
        <v>904.70999999999992</v>
      </c>
      <c r="F304" s="2">
        <v>16188.269999999999</v>
      </c>
      <c r="I304" s="1"/>
    </row>
    <row r="305" spans="1:9" hidden="1">
      <c r="A305" s="2">
        <v>7600</v>
      </c>
      <c r="B305" s="1" t="s">
        <v>46</v>
      </c>
      <c r="C305" s="2">
        <v>1881.01</v>
      </c>
      <c r="D305" s="2">
        <v>340.96</v>
      </c>
      <c r="E305" s="2">
        <v>401.7176</v>
      </c>
      <c r="F305" s="2">
        <v>23314.797599999998</v>
      </c>
      <c r="I305" s="1"/>
    </row>
    <row r="306" spans="1:9" hidden="1">
      <c r="A306" s="2">
        <v>7600</v>
      </c>
      <c r="B306" s="1" t="s">
        <v>40</v>
      </c>
      <c r="C306" s="2">
        <v>4553.47</v>
      </c>
      <c r="D306" s="2">
        <v>5961.72</v>
      </c>
      <c r="E306" s="2">
        <v>6293.57</v>
      </c>
      <c r="F306" s="2">
        <v>66896.929999999993</v>
      </c>
      <c r="I306" s="1"/>
    </row>
    <row r="307" spans="1:9" hidden="1">
      <c r="A307" s="2">
        <v>7700</v>
      </c>
      <c r="B307" s="1" t="s">
        <v>39</v>
      </c>
      <c r="C307" s="2">
        <v>7700</v>
      </c>
      <c r="D307" s="2">
        <v>7700</v>
      </c>
      <c r="E307" s="2">
        <v>7700</v>
      </c>
      <c r="F307" s="2">
        <v>107800</v>
      </c>
      <c r="I307" s="1"/>
    </row>
    <row r="308" spans="1:9" hidden="1">
      <c r="A308" s="2">
        <v>7700</v>
      </c>
      <c r="B308" s="1" t="s">
        <v>45</v>
      </c>
      <c r="C308" s="2">
        <v>1165.52</v>
      </c>
      <c r="D308" s="2">
        <v>1314.3899999999999</v>
      </c>
      <c r="E308" s="2">
        <v>887.64</v>
      </c>
      <c r="F308" s="2">
        <v>16188.269999999999</v>
      </c>
      <c r="I308" s="1"/>
    </row>
    <row r="309" spans="1:9" hidden="1">
      <c r="A309" s="2">
        <v>7700</v>
      </c>
      <c r="B309" s="1" t="s">
        <v>46</v>
      </c>
      <c r="C309" s="2">
        <v>1929.01</v>
      </c>
      <c r="D309" s="2">
        <v>345.94</v>
      </c>
      <c r="E309" s="2">
        <v>408.73759999999999</v>
      </c>
      <c r="F309" s="2">
        <v>23902.797599999998</v>
      </c>
      <c r="I309" s="1"/>
    </row>
    <row r="310" spans="1:9" hidden="1">
      <c r="A310" s="2">
        <v>7700</v>
      </c>
      <c r="B310" s="1" t="s">
        <v>40</v>
      </c>
      <c r="C310" s="2">
        <v>4605.47</v>
      </c>
      <c r="D310" s="2">
        <v>6039.670000000001</v>
      </c>
      <c r="E310" s="2">
        <v>6403.62</v>
      </c>
      <c r="F310" s="2">
        <v>67708.929999999993</v>
      </c>
      <c r="I310" s="1"/>
    </row>
    <row r="311" spans="1:9" hidden="1">
      <c r="A311" s="2">
        <v>7800</v>
      </c>
      <c r="B311" s="1" t="s">
        <v>39</v>
      </c>
      <c r="C311" s="2">
        <v>7800</v>
      </c>
      <c r="D311" s="2">
        <v>7800</v>
      </c>
      <c r="E311" s="2">
        <v>7800</v>
      </c>
      <c r="F311" s="2">
        <v>109200</v>
      </c>
      <c r="I311" s="1"/>
    </row>
    <row r="312" spans="1:9" hidden="1">
      <c r="A312" s="2">
        <v>7800</v>
      </c>
      <c r="B312" s="1" t="s">
        <v>45</v>
      </c>
      <c r="C312" s="2">
        <v>1165.52</v>
      </c>
      <c r="D312" s="2">
        <v>1331.46</v>
      </c>
      <c r="E312" s="2">
        <v>870.56999999999994</v>
      </c>
      <c r="F312" s="2">
        <v>16188.27</v>
      </c>
      <c r="I312" s="1"/>
    </row>
    <row r="313" spans="1:9" hidden="1">
      <c r="A313" s="2">
        <v>7800</v>
      </c>
      <c r="B313" s="1" t="s">
        <v>46</v>
      </c>
      <c r="C313" s="2">
        <v>1977.01</v>
      </c>
      <c r="D313" s="2">
        <v>350.91</v>
      </c>
      <c r="E313" s="2">
        <v>415.76759999999996</v>
      </c>
      <c r="F313" s="2">
        <v>24490.797599999998</v>
      </c>
      <c r="I313" s="1"/>
    </row>
    <row r="314" spans="1:9" hidden="1">
      <c r="A314" s="2">
        <v>7800</v>
      </c>
      <c r="B314" s="1" t="s">
        <v>40</v>
      </c>
      <c r="C314" s="2">
        <v>4657.47</v>
      </c>
      <c r="D314" s="2">
        <v>6117.63</v>
      </c>
      <c r="E314" s="2">
        <v>6513.66</v>
      </c>
      <c r="F314" s="2">
        <v>68520.929999999993</v>
      </c>
      <c r="I314" s="1"/>
    </row>
    <row r="315" spans="1:9" hidden="1">
      <c r="A315" s="2">
        <v>7900</v>
      </c>
      <c r="B315" s="1" t="s">
        <v>39</v>
      </c>
      <c r="C315" s="2">
        <v>7900</v>
      </c>
      <c r="D315" s="2">
        <v>7900</v>
      </c>
      <c r="E315" s="2">
        <v>7900</v>
      </c>
      <c r="F315" s="2">
        <v>110600</v>
      </c>
      <c r="I315" s="1"/>
    </row>
    <row r="316" spans="1:9" hidden="1">
      <c r="A316" s="2">
        <v>7900</v>
      </c>
      <c r="B316" s="1" t="s">
        <v>45</v>
      </c>
      <c r="C316" s="2">
        <v>1165.52</v>
      </c>
      <c r="D316" s="2">
        <v>1348.53</v>
      </c>
      <c r="E316" s="2">
        <v>853.5</v>
      </c>
      <c r="F316" s="2">
        <v>16188.27</v>
      </c>
      <c r="I316" s="1"/>
    </row>
    <row r="317" spans="1:9" hidden="1">
      <c r="A317" s="2">
        <v>7900</v>
      </c>
      <c r="B317" s="1" t="s">
        <v>46</v>
      </c>
      <c r="C317" s="2">
        <v>2025.01</v>
      </c>
      <c r="D317" s="2">
        <v>355.89</v>
      </c>
      <c r="E317" s="2">
        <v>422.7876</v>
      </c>
      <c r="F317" s="2">
        <v>25078.797599999998</v>
      </c>
      <c r="I317" s="1"/>
    </row>
    <row r="318" spans="1:9" hidden="1">
      <c r="A318" s="2">
        <v>7900</v>
      </c>
      <c r="B318" s="1" t="s">
        <v>40</v>
      </c>
      <c r="C318" s="2">
        <v>4709.47</v>
      </c>
      <c r="D318" s="2">
        <v>6195.58</v>
      </c>
      <c r="E318" s="2">
        <v>6623.71</v>
      </c>
      <c r="F318" s="2">
        <v>69332.930000000008</v>
      </c>
      <c r="I318" s="1"/>
    </row>
    <row r="319" spans="1:9" hidden="1">
      <c r="A319" s="2">
        <v>8000</v>
      </c>
      <c r="B319" s="1" t="s">
        <v>39</v>
      </c>
      <c r="C319" s="2">
        <v>8000</v>
      </c>
      <c r="D319" s="2">
        <v>8000</v>
      </c>
      <c r="E319" s="2">
        <v>8000</v>
      </c>
      <c r="F319" s="2">
        <v>112000</v>
      </c>
      <c r="I319" s="1"/>
    </row>
    <row r="320" spans="1:9" hidden="1">
      <c r="A320" s="2">
        <v>8000</v>
      </c>
      <c r="B320" s="1" t="s">
        <v>45</v>
      </c>
      <c r="C320" s="2">
        <v>1165.52</v>
      </c>
      <c r="D320" s="2">
        <v>1365.6</v>
      </c>
      <c r="E320" s="2">
        <v>836.43</v>
      </c>
      <c r="F320" s="2">
        <v>16188.27</v>
      </c>
      <c r="I320" s="1"/>
    </row>
    <row r="321" spans="1:9" hidden="1">
      <c r="A321" s="2">
        <v>8000</v>
      </c>
      <c r="B321" s="1" t="s">
        <v>46</v>
      </c>
      <c r="C321" s="2">
        <v>2073.0100000000002</v>
      </c>
      <c r="D321" s="2">
        <v>360.86</v>
      </c>
      <c r="E321" s="2">
        <v>429.81759999999986</v>
      </c>
      <c r="F321" s="2">
        <v>25666.797600000002</v>
      </c>
      <c r="I321" s="1"/>
    </row>
    <row r="322" spans="1:9" hidden="1">
      <c r="A322" s="2">
        <v>8000</v>
      </c>
      <c r="B322" s="1" t="s">
        <v>40</v>
      </c>
      <c r="C322" s="2">
        <v>4761.47</v>
      </c>
      <c r="D322" s="2">
        <v>6273.54</v>
      </c>
      <c r="E322" s="2">
        <v>6733.75</v>
      </c>
      <c r="F322" s="2">
        <v>70144.929999999993</v>
      </c>
      <c r="I322" s="1"/>
    </row>
    <row r="323" spans="1:9" hidden="1">
      <c r="A323" s="2">
        <v>8100</v>
      </c>
      <c r="B323" s="1" t="s">
        <v>39</v>
      </c>
      <c r="C323" s="2">
        <v>8100</v>
      </c>
      <c r="D323" s="2">
        <v>8100</v>
      </c>
      <c r="E323" s="2">
        <v>8100</v>
      </c>
      <c r="F323" s="2">
        <v>113400</v>
      </c>
      <c r="I323" s="1"/>
    </row>
    <row r="324" spans="1:9" hidden="1">
      <c r="A324" s="2">
        <v>8100</v>
      </c>
      <c r="B324" s="1" t="s">
        <v>45</v>
      </c>
      <c r="C324" s="2">
        <v>1165.52</v>
      </c>
      <c r="D324" s="2">
        <v>1382.6699999999998</v>
      </c>
      <c r="E324" s="2">
        <v>819.3599999999999</v>
      </c>
      <c r="F324" s="2">
        <v>16188.27</v>
      </c>
      <c r="I324" s="1"/>
    </row>
    <row r="325" spans="1:9" hidden="1">
      <c r="A325" s="2">
        <v>8100</v>
      </c>
      <c r="B325" s="1" t="s">
        <v>46</v>
      </c>
      <c r="C325" s="2">
        <v>2121.0100000000002</v>
      </c>
      <c r="D325" s="2">
        <v>365.84</v>
      </c>
      <c r="E325" s="2">
        <v>436.83760000000001</v>
      </c>
      <c r="F325" s="2">
        <v>26254.797600000002</v>
      </c>
      <c r="I325" s="1"/>
    </row>
    <row r="326" spans="1:9" hidden="1">
      <c r="A326" s="2">
        <v>8100</v>
      </c>
      <c r="B326" s="1" t="s">
        <v>40</v>
      </c>
      <c r="C326" s="2">
        <v>4813.47</v>
      </c>
      <c r="D326" s="2">
        <v>6351.49</v>
      </c>
      <c r="E326" s="2">
        <v>6843.8</v>
      </c>
      <c r="F326" s="2">
        <v>70956.929999999993</v>
      </c>
      <c r="I326" s="1"/>
    </row>
    <row r="327" spans="1:9" hidden="1">
      <c r="A327" s="2">
        <v>8200</v>
      </c>
      <c r="B327" s="1" t="s">
        <v>39</v>
      </c>
      <c r="C327" s="2">
        <v>8200</v>
      </c>
      <c r="D327" s="2">
        <v>8200</v>
      </c>
      <c r="E327" s="2">
        <v>8200</v>
      </c>
      <c r="F327" s="2">
        <v>114800</v>
      </c>
      <c r="I327" s="1"/>
    </row>
    <row r="328" spans="1:9" hidden="1">
      <c r="A328" s="2">
        <v>8200</v>
      </c>
      <c r="B328" s="1" t="s">
        <v>45</v>
      </c>
      <c r="C328" s="2">
        <v>1165.52</v>
      </c>
      <c r="D328" s="2">
        <v>1399.74</v>
      </c>
      <c r="E328" s="2">
        <v>802.29</v>
      </c>
      <c r="F328" s="2">
        <v>16188.27</v>
      </c>
      <c r="I328" s="1"/>
    </row>
    <row r="329" spans="1:9" hidden="1">
      <c r="A329" s="2">
        <v>8200</v>
      </c>
      <c r="B329" s="1" t="s">
        <v>46</v>
      </c>
      <c r="C329" s="2">
        <v>2169.0100000000002</v>
      </c>
      <c r="D329" s="2">
        <v>370.82</v>
      </c>
      <c r="E329" s="2">
        <v>443.85759999999999</v>
      </c>
      <c r="F329" s="2">
        <v>26842.797600000002</v>
      </c>
      <c r="I329" s="1"/>
    </row>
    <row r="330" spans="1:9" hidden="1">
      <c r="A330" s="2">
        <v>8200</v>
      </c>
      <c r="B330" s="1" t="s">
        <v>40</v>
      </c>
      <c r="C330" s="2">
        <v>4865.47</v>
      </c>
      <c r="D330" s="2">
        <v>6429.4400000000005</v>
      </c>
      <c r="E330" s="2">
        <v>6953.85</v>
      </c>
      <c r="F330" s="2">
        <v>71768.930000000008</v>
      </c>
      <c r="I330" s="1"/>
    </row>
    <row r="331" spans="1:9" hidden="1">
      <c r="A331" s="2">
        <v>8300</v>
      </c>
      <c r="B331" s="1" t="s">
        <v>39</v>
      </c>
      <c r="C331" s="2">
        <v>8300</v>
      </c>
      <c r="D331" s="2">
        <v>8300</v>
      </c>
      <c r="E331" s="2">
        <v>8300</v>
      </c>
      <c r="F331" s="2">
        <v>116200</v>
      </c>
      <c r="I331" s="1"/>
    </row>
    <row r="332" spans="1:9" hidden="1">
      <c r="A332" s="2">
        <v>8300</v>
      </c>
      <c r="B332" s="1" t="s">
        <v>45</v>
      </c>
      <c r="C332" s="2">
        <v>1165.52</v>
      </c>
      <c r="D332" s="2">
        <v>1416.81</v>
      </c>
      <c r="E332" s="2">
        <v>785.21999999999991</v>
      </c>
      <c r="F332" s="2">
        <v>16188.269999999999</v>
      </c>
      <c r="I332" s="1"/>
    </row>
    <row r="333" spans="1:9" hidden="1">
      <c r="A333" s="2">
        <v>8300</v>
      </c>
      <c r="B333" s="1" t="s">
        <v>46</v>
      </c>
      <c r="C333" s="2">
        <v>2217.0100000000002</v>
      </c>
      <c r="D333" s="2">
        <v>375.79</v>
      </c>
      <c r="E333" s="2">
        <v>450.88759999999996</v>
      </c>
      <c r="F333" s="2">
        <v>27430.797600000002</v>
      </c>
      <c r="I333" s="1"/>
    </row>
    <row r="334" spans="1:9" hidden="1">
      <c r="A334" s="2">
        <v>8300</v>
      </c>
      <c r="B334" s="1" t="s">
        <v>40</v>
      </c>
      <c r="C334" s="2">
        <v>4917.47</v>
      </c>
      <c r="D334" s="2">
        <v>6507.4000000000005</v>
      </c>
      <c r="E334" s="2">
        <v>7063.89</v>
      </c>
      <c r="F334" s="2">
        <v>72580.930000000008</v>
      </c>
      <c r="I334" s="1"/>
    </row>
    <row r="335" spans="1:9" hidden="1">
      <c r="A335" s="2">
        <v>8400</v>
      </c>
      <c r="B335" s="1" t="s">
        <v>39</v>
      </c>
      <c r="C335" s="2">
        <v>8400</v>
      </c>
      <c r="D335" s="2">
        <v>8400</v>
      </c>
      <c r="E335" s="2">
        <v>8400</v>
      </c>
      <c r="F335" s="2">
        <v>117600</v>
      </c>
      <c r="I335" s="1"/>
    </row>
    <row r="336" spans="1:9" hidden="1">
      <c r="A336" s="2">
        <v>8400</v>
      </c>
      <c r="B336" s="1" t="s">
        <v>45</v>
      </c>
      <c r="C336" s="2">
        <v>1165.52</v>
      </c>
      <c r="D336" s="2">
        <v>1433.8799999999999</v>
      </c>
      <c r="E336" s="2">
        <v>768.15</v>
      </c>
      <c r="F336" s="2">
        <v>16188.269999999999</v>
      </c>
      <c r="I336" s="1"/>
    </row>
    <row r="337" spans="1:9" hidden="1">
      <c r="A337" s="2">
        <v>8400</v>
      </c>
      <c r="B337" s="1" t="s">
        <v>46</v>
      </c>
      <c r="C337" s="2">
        <v>2265.0100000000002</v>
      </c>
      <c r="D337" s="2">
        <v>380.77</v>
      </c>
      <c r="E337" s="2">
        <v>457.9076</v>
      </c>
      <c r="F337" s="2">
        <v>28018.797600000002</v>
      </c>
      <c r="I337" s="1"/>
    </row>
    <row r="338" spans="1:9" hidden="1">
      <c r="A338" s="2">
        <v>8400</v>
      </c>
      <c r="B338" s="1" t="s">
        <v>40</v>
      </c>
      <c r="C338" s="2">
        <v>4969.47</v>
      </c>
      <c r="D338" s="2">
        <v>6585.35</v>
      </c>
      <c r="E338" s="2">
        <v>7173.94</v>
      </c>
      <c r="F338" s="2">
        <v>73392.930000000008</v>
      </c>
      <c r="I338" s="1"/>
    </row>
    <row r="339" spans="1:9" hidden="1">
      <c r="A339" s="2">
        <v>8500</v>
      </c>
      <c r="B339" s="1" t="s">
        <v>39</v>
      </c>
      <c r="C339" s="2">
        <v>8500</v>
      </c>
      <c r="D339" s="2">
        <v>8500</v>
      </c>
      <c r="E339" s="2">
        <v>8500</v>
      </c>
      <c r="F339" s="2">
        <v>119000</v>
      </c>
      <c r="I339" s="1"/>
    </row>
    <row r="340" spans="1:9" hidden="1">
      <c r="A340" s="2">
        <v>8500</v>
      </c>
      <c r="B340" s="1" t="s">
        <v>45</v>
      </c>
      <c r="C340" s="2">
        <v>1165.52</v>
      </c>
      <c r="D340" s="2">
        <v>1450.9499999999998</v>
      </c>
      <c r="E340" s="2">
        <v>751.07999999999993</v>
      </c>
      <c r="F340" s="2">
        <v>16188.269999999999</v>
      </c>
      <c r="I340" s="1"/>
    </row>
    <row r="341" spans="1:9" hidden="1">
      <c r="A341" s="2">
        <v>8500</v>
      </c>
      <c r="B341" s="1" t="s">
        <v>46</v>
      </c>
      <c r="C341" s="2">
        <v>2313.0100000000002</v>
      </c>
      <c r="D341" s="2">
        <v>385.74</v>
      </c>
      <c r="E341" s="2">
        <v>464.93759999999997</v>
      </c>
      <c r="F341" s="2">
        <v>28606.797600000005</v>
      </c>
      <c r="I341" s="1"/>
    </row>
    <row r="342" spans="1:9" hidden="1">
      <c r="A342" s="2">
        <v>8500</v>
      </c>
      <c r="B342" s="1" t="s">
        <v>40</v>
      </c>
      <c r="C342" s="2">
        <v>5021.47</v>
      </c>
      <c r="D342" s="2">
        <v>6663.31</v>
      </c>
      <c r="E342" s="2">
        <v>7283.98</v>
      </c>
      <c r="F342" s="2">
        <v>74204.929999999993</v>
      </c>
      <c r="I342" s="1"/>
    </row>
    <row r="343" spans="1:9" hidden="1">
      <c r="A343" s="2">
        <v>8600</v>
      </c>
      <c r="B343" s="1" t="s">
        <v>39</v>
      </c>
      <c r="C343" s="2">
        <v>8600</v>
      </c>
      <c r="D343" s="2">
        <v>8600</v>
      </c>
      <c r="E343" s="2">
        <v>8600</v>
      </c>
      <c r="F343" s="2">
        <v>120400</v>
      </c>
      <c r="I343" s="1"/>
    </row>
    <row r="344" spans="1:9" hidden="1">
      <c r="A344" s="2">
        <v>8600</v>
      </c>
      <c r="B344" s="1" t="s">
        <v>45</v>
      </c>
      <c r="C344" s="2">
        <v>1165.52</v>
      </c>
      <c r="D344" s="2">
        <v>1468.02</v>
      </c>
      <c r="E344" s="2">
        <v>734.01</v>
      </c>
      <c r="F344" s="2">
        <v>16188.27</v>
      </c>
      <c r="I344" s="1"/>
    </row>
    <row r="345" spans="1:9" hidden="1">
      <c r="A345" s="2">
        <v>8600</v>
      </c>
      <c r="B345" s="1" t="s">
        <v>46</v>
      </c>
      <c r="C345" s="2">
        <v>2361.0100000000002</v>
      </c>
      <c r="D345" s="2">
        <v>390.72</v>
      </c>
      <c r="E345" s="2">
        <v>471.95759999999984</v>
      </c>
      <c r="F345" s="2">
        <v>29194.797600000005</v>
      </c>
      <c r="I345" s="1"/>
    </row>
    <row r="346" spans="1:9" hidden="1">
      <c r="A346" s="2">
        <v>8600</v>
      </c>
      <c r="B346" s="1" t="s">
        <v>40</v>
      </c>
      <c r="C346" s="2">
        <v>5073.47</v>
      </c>
      <c r="D346" s="2">
        <v>6741.2599999999993</v>
      </c>
      <c r="E346" s="2">
        <v>7394.03</v>
      </c>
      <c r="F346" s="2">
        <v>75016.929999999993</v>
      </c>
      <c r="I346" s="1"/>
    </row>
    <row r="347" spans="1:9" hidden="1">
      <c r="A347" s="2">
        <v>8700</v>
      </c>
      <c r="B347" s="1" t="s">
        <v>39</v>
      </c>
      <c r="C347" s="2">
        <v>8700</v>
      </c>
      <c r="D347" s="2">
        <v>8700</v>
      </c>
      <c r="E347" s="2">
        <v>8700</v>
      </c>
      <c r="F347" s="2">
        <v>121800</v>
      </c>
      <c r="I347" s="1"/>
    </row>
    <row r="348" spans="1:9" hidden="1">
      <c r="A348" s="2">
        <v>8700</v>
      </c>
      <c r="B348" s="1" t="s">
        <v>45</v>
      </c>
      <c r="C348" s="2">
        <v>1165.52</v>
      </c>
      <c r="D348" s="2">
        <v>1485.09</v>
      </c>
      <c r="E348" s="2">
        <v>716.93999999999994</v>
      </c>
      <c r="F348" s="2">
        <v>16188.27</v>
      </c>
      <c r="I348" s="1"/>
    </row>
    <row r="349" spans="1:9" hidden="1">
      <c r="A349" s="2">
        <v>8700</v>
      </c>
      <c r="B349" s="1" t="s">
        <v>46</v>
      </c>
      <c r="C349" s="2">
        <v>2409.0100000000002</v>
      </c>
      <c r="D349" s="2">
        <v>395.69</v>
      </c>
      <c r="E349" s="2">
        <v>478.98759999999999</v>
      </c>
      <c r="F349" s="2">
        <v>29782.797600000002</v>
      </c>
      <c r="I349" s="1"/>
    </row>
    <row r="350" spans="1:9" hidden="1">
      <c r="A350" s="2">
        <v>8700</v>
      </c>
      <c r="B350" s="1" t="s">
        <v>40</v>
      </c>
      <c r="C350" s="2">
        <v>5125.47</v>
      </c>
      <c r="D350" s="2">
        <v>6819.22</v>
      </c>
      <c r="E350" s="2">
        <v>7504.07</v>
      </c>
      <c r="F350" s="2">
        <v>75828.929999999993</v>
      </c>
      <c r="I350" s="1"/>
    </row>
    <row r="351" spans="1:9" hidden="1">
      <c r="A351" s="2">
        <v>8800</v>
      </c>
      <c r="B351" s="1" t="s">
        <v>39</v>
      </c>
      <c r="C351" s="2">
        <v>8800</v>
      </c>
      <c r="D351" s="2">
        <v>8800</v>
      </c>
      <c r="E351" s="2">
        <v>8800</v>
      </c>
      <c r="F351" s="2">
        <v>123200</v>
      </c>
      <c r="I351" s="1"/>
    </row>
    <row r="352" spans="1:9" hidden="1">
      <c r="A352" s="2">
        <v>8800</v>
      </c>
      <c r="B352" s="1" t="s">
        <v>45</v>
      </c>
      <c r="C352" s="2">
        <v>1165.52</v>
      </c>
      <c r="D352" s="2">
        <v>1502.1599999999999</v>
      </c>
      <c r="E352" s="2">
        <v>699.87</v>
      </c>
      <c r="F352" s="2">
        <v>16188.27</v>
      </c>
      <c r="I352" s="1"/>
    </row>
    <row r="353" spans="1:9" hidden="1">
      <c r="A353" s="2">
        <v>8800</v>
      </c>
      <c r="B353" s="1" t="s">
        <v>46</v>
      </c>
      <c r="C353" s="2">
        <v>2457.0100000000002</v>
      </c>
      <c r="D353" s="2">
        <v>400.67</v>
      </c>
      <c r="E353" s="2">
        <v>486.00759999999997</v>
      </c>
      <c r="F353" s="2">
        <v>30370.797600000002</v>
      </c>
      <c r="I353" s="1"/>
    </row>
    <row r="354" spans="1:9" hidden="1">
      <c r="A354" s="2">
        <v>8800</v>
      </c>
      <c r="B354" s="1" t="s">
        <v>40</v>
      </c>
      <c r="C354" s="2">
        <v>5177.47</v>
      </c>
      <c r="D354" s="2">
        <v>6897.17</v>
      </c>
      <c r="E354" s="2">
        <v>7614.12</v>
      </c>
      <c r="F354" s="2">
        <v>76640.929999999993</v>
      </c>
      <c r="I354" s="1"/>
    </row>
    <row r="355" spans="1:9" hidden="1">
      <c r="A355" s="2">
        <v>8900</v>
      </c>
      <c r="B355" s="1" t="s">
        <v>39</v>
      </c>
      <c r="C355" s="2">
        <v>8900</v>
      </c>
      <c r="D355" s="2">
        <v>8900</v>
      </c>
      <c r="E355" s="2">
        <v>8900</v>
      </c>
      <c r="F355" s="2">
        <v>124600</v>
      </c>
      <c r="I355" s="1"/>
    </row>
    <row r="356" spans="1:9" hidden="1">
      <c r="A356" s="2">
        <v>8900</v>
      </c>
      <c r="B356" s="1" t="s">
        <v>45</v>
      </c>
      <c r="C356" s="2">
        <v>1165.52</v>
      </c>
      <c r="D356" s="2">
        <v>1519.23</v>
      </c>
      <c r="E356" s="2">
        <v>682.8</v>
      </c>
      <c r="F356" s="2">
        <v>16188.269999999999</v>
      </c>
      <c r="I356" s="1"/>
    </row>
    <row r="357" spans="1:9" hidden="1">
      <c r="A357" s="2">
        <v>8900</v>
      </c>
      <c r="B357" s="1" t="s">
        <v>46</v>
      </c>
      <c r="C357" s="2">
        <v>2505.0100000000002</v>
      </c>
      <c r="D357" s="2">
        <v>405.65</v>
      </c>
      <c r="E357" s="2">
        <v>493.02760000000001</v>
      </c>
      <c r="F357" s="2">
        <v>30958.797600000005</v>
      </c>
      <c r="I357" s="1"/>
    </row>
    <row r="358" spans="1:9" hidden="1">
      <c r="A358" s="2">
        <v>8900</v>
      </c>
      <c r="B358" s="1" t="s">
        <v>40</v>
      </c>
      <c r="C358" s="2">
        <v>5229.47</v>
      </c>
      <c r="D358" s="2">
        <v>6975.1200000000008</v>
      </c>
      <c r="E358" s="2">
        <v>7724.17</v>
      </c>
      <c r="F358" s="2">
        <v>77452.929999999993</v>
      </c>
      <c r="I358" s="1"/>
    </row>
    <row r="359" spans="1:9" hidden="1">
      <c r="A359" s="2">
        <v>9000</v>
      </c>
      <c r="B359" s="1" t="s">
        <v>39</v>
      </c>
      <c r="C359" s="2">
        <v>9000</v>
      </c>
      <c r="D359" s="2">
        <v>9000</v>
      </c>
      <c r="E359" s="2">
        <v>9000</v>
      </c>
      <c r="F359" s="2">
        <v>126000</v>
      </c>
      <c r="I359" s="1"/>
    </row>
    <row r="360" spans="1:9" hidden="1">
      <c r="A360" s="2">
        <v>9000</v>
      </c>
      <c r="B360" s="1" t="s">
        <v>45</v>
      </c>
      <c r="C360" s="2">
        <v>1165.52</v>
      </c>
      <c r="D360" s="2">
        <v>1536.3</v>
      </c>
      <c r="E360" s="2">
        <v>665.73</v>
      </c>
      <c r="F360" s="2">
        <v>16188.269999999999</v>
      </c>
      <c r="I360" s="1"/>
    </row>
    <row r="361" spans="1:9" hidden="1">
      <c r="A361" s="2">
        <v>9000</v>
      </c>
      <c r="B361" s="1" t="s">
        <v>46</v>
      </c>
      <c r="C361" s="2">
        <v>2553.0100000000002</v>
      </c>
      <c r="D361" s="2">
        <v>410.62</v>
      </c>
      <c r="E361" s="2">
        <v>500.05759999999998</v>
      </c>
      <c r="F361" s="2">
        <v>31546.797600000002</v>
      </c>
      <c r="I361" s="1"/>
    </row>
    <row r="362" spans="1:9" hidden="1">
      <c r="A362" s="2">
        <v>9000</v>
      </c>
      <c r="B362" s="1" t="s">
        <v>40</v>
      </c>
      <c r="C362" s="2">
        <v>5281.47</v>
      </c>
      <c r="D362" s="2">
        <v>7053.08</v>
      </c>
      <c r="E362" s="2">
        <v>7834.21</v>
      </c>
      <c r="F362" s="2">
        <v>78264.930000000008</v>
      </c>
      <c r="I362" s="1"/>
    </row>
    <row r="363" spans="1:9" hidden="1">
      <c r="A363" s="2">
        <v>9100</v>
      </c>
      <c r="B363" s="1" t="s">
        <v>39</v>
      </c>
      <c r="C363" s="2">
        <v>9100</v>
      </c>
      <c r="D363" s="2">
        <v>9100</v>
      </c>
      <c r="E363" s="2">
        <v>9100</v>
      </c>
      <c r="F363" s="2">
        <v>127400</v>
      </c>
      <c r="I363" s="1"/>
    </row>
    <row r="364" spans="1:9" hidden="1">
      <c r="A364" s="2">
        <v>9100</v>
      </c>
      <c r="B364" s="1" t="s">
        <v>45</v>
      </c>
      <c r="C364" s="2">
        <v>1165.52</v>
      </c>
      <c r="D364" s="2">
        <v>1553.37</v>
      </c>
      <c r="E364" s="2">
        <v>648.66</v>
      </c>
      <c r="F364" s="2">
        <v>16188.27</v>
      </c>
      <c r="I364" s="1"/>
    </row>
    <row r="365" spans="1:9" hidden="1">
      <c r="A365" s="2">
        <v>9100</v>
      </c>
      <c r="B365" s="1" t="s">
        <v>46</v>
      </c>
      <c r="C365" s="2">
        <v>2601.0100000000002</v>
      </c>
      <c r="D365" s="2">
        <v>415.6</v>
      </c>
      <c r="E365" s="2">
        <v>507.07759999999996</v>
      </c>
      <c r="F365" s="2">
        <v>32134.797600000002</v>
      </c>
      <c r="I365" s="1"/>
    </row>
    <row r="366" spans="1:9" hidden="1">
      <c r="A366" s="2">
        <v>9100</v>
      </c>
      <c r="B366" s="1" t="s">
        <v>40</v>
      </c>
      <c r="C366" s="2">
        <v>5333.47</v>
      </c>
      <c r="D366" s="2">
        <v>7131.03</v>
      </c>
      <c r="E366" s="2">
        <v>7944.26</v>
      </c>
      <c r="F366" s="2">
        <v>79076.929999999993</v>
      </c>
      <c r="I366" s="1"/>
    </row>
    <row r="367" spans="1:9" hidden="1">
      <c r="A367" s="2">
        <v>9200</v>
      </c>
      <c r="B367" s="1" t="s">
        <v>39</v>
      </c>
      <c r="C367" s="2">
        <v>9200</v>
      </c>
      <c r="D367" s="2">
        <v>9200</v>
      </c>
      <c r="E367" s="2">
        <v>9200</v>
      </c>
      <c r="F367" s="2">
        <v>128800</v>
      </c>
      <c r="I367" s="1"/>
    </row>
    <row r="368" spans="1:9" hidden="1">
      <c r="A368" s="2">
        <v>9200</v>
      </c>
      <c r="B368" s="1" t="s">
        <v>45</v>
      </c>
      <c r="C368" s="2">
        <v>1165.52</v>
      </c>
      <c r="D368" s="2">
        <v>1570.4399999999998</v>
      </c>
      <c r="E368" s="2">
        <v>631.58999999999992</v>
      </c>
      <c r="F368" s="2">
        <v>16188.27</v>
      </c>
      <c r="I368" s="1"/>
    </row>
    <row r="369" spans="1:9" hidden="1">
      <c r="A369" s="2">
        <v>9200</v>
      </c>
      <c r="B369" s="1" t="s">
        <v>46</v>
      </c>
      <c r="C369" s="2">
        <v>2649.01</v>
      </c>
      <c r="D369" s="2">
        <v>420.57</v>
      </c>
      <c r="E369" s="2">
        <v>514.10760000000005</v>
      </c>
      <c r="F369" s="2">
        <v>32722.797600000002</v>
      </c>
      <c r="I369" s="1"/>
    </row>
    <row r="370" spans="1:9" hidden="1">
      <c r="A370" s="2">
        <v>9200</v>
      </c>
      <c r="B370" s="1" t="s">
        <v>40</v>
      </c>
      <c r="C370" s="2">
        <v>5385.47</v>
      </c>
      <c r="D370" s="2">
        <v>7208.9900000000007</v>
      </c>
      <c r="E370" s="2">
        <v>8054.3</v>
      </c>
      <c r="F370" s="2">
        <v>79888.930000000008</v>
      </c>
      <c r="I370" s="1"/>
    </row>
    <row r="371" spans="1:9" hidden="1">
      <c r="A371" s="2">
        <v>9300</v>
      </c>
      <c r="B371" s="1" t="s">
        <v>39</v>
      </c>
      <c r="C371" s="2">
        <v>9300</v>
      </c>
      <c r="D371" s="2">
        <v>9300</v>
      </c>
      <c r="E371" s="2">
        <v>9300</v>
      </c>
      <c r="F371" s="2">
        <v>130200</v>
      </c>
      <c r="I371" s="1"/>
    </row>
    <row r="372" spans="1:9" hidden="1">
      <c r="A372" s="2">
        <v>9300</v>
      </c>
      <c r="B372" s="1" t="s">
        <v>45</v>
      </c>
      <c r="C372" s="2">
        <v>1165.52</v>
      </c>
      <c r="D372" s="2">
        <v>1587.51</v>
      </c>
      <c r="E372" s="2">
        <v>614.52</v>
      </c>
      <c r="F372" s="2">
        <v>16188.27</v>
      </c>
      <c r="I372" s="1"/>
    </row>
    <row r="373" spans="1:9" hidden="1">
      <c r="A373" s="2">
        <v>9300</v>
      </c>
      <c r="B373" s="1" t="s">
        <v>46</v>
      </c>
      <c r="C373" s="2">
        <v>2697.01</v>
      </c>
      <c r="D373" s="2">
        <v>425.55</v>
      </c>
      <c r="E373" s="2">
        <v>521.12760000000003</v>
      </c>
      <c r="F373" s="2">
        <v>33310.797600000005</v>
      </c>
      <c r="I373" s="1"/>
    </row>
    <row r="374" spans="1:9" hidden="1">
      <c r="A374" s="2">
        <v>9300</v>
      </c>
      <c r="B374" s="1" t="s">
        <v>40</v>
      </c>
      <c r="C374" s="2">
        <v>5437.47</v>
      </c>
      <c r="D374" s="2">
        <v>7286.94</v>
      </c>
      <c r="E374" s="2">
        <v>8164.35</v>
      </c>
      <c r="F374" s="2">
        <v>80700.930000000008</v>
      </c>
      <c r="I374" s="1"/>
    </row>
    <row r="375" spans="1:9" hidden="1">
      <c r="A375" s="2">
        <v>9400</v>
      </c>
      <c r="B375" s="1" t="s">
        <v>39</v>
      </c>
      <c r="C375" s="2">
        <v>9400</v>
      </c>
      <c r="D375" s="2">
        <v>9400</v>
      </c>
      <c r="E375" s="2">
        <v>9400</v>
      </c>
      <c r="F375" s="2">
        <v>131600</v>
      </c>
      <c r="I375" s="1"/>
    </row>
    <row r="376" spans="1:9" hidden="1">
      <c r="A376" s="2">
        <v>9400</v>
      </c>
      <c r="B376" s="1" t="s">
        <v>45</v>
      </c>
      <c r="C376" s="2">
        <v>1165.52</v>
      </c>
      <c r="D376" s="2">
        <v>1604.58</v>
      </c>
      <c r="E376" s="2">
        <v>597.44999999999993</v>
      </c>
      <c r="F376" s="2">
        <v>16188.27</v>
      </c>
      <c r="I376" s="1"/>
    </row>
    <row r="377" spans="1:9" hidden="1">
      <c r="A377" s="2">
        <v>9400</v>
      </c>
      <c r="B377" s="1" t="s">
        <v>46</v>
      </c>
      <c r="C377" s="2">
        <v>2745.01</v>
      </c>
      <c r="D377" s="2">
        <v>430.52</v>
      </c>
      <c r="E377" s="2">
        <v>528.1576</v>
      </c>
      <c r="F377" s="2">
        <v>33898.797599999998</v>
      </c>
      <c r="I377" s="1"/>
    </row>
    <row r="378" spans="1:9" hidden="1">
      <c r="A378" s="2">
        <v>9400</v>
      </c>
      <c r="B378" s="1" t="s">
        <v>40</v>
      </c>
      <c r="C378" s="2">
        <v>5489.47</v>
      </c>
      <c r="D378" s="2">
        <v>7364.9</v>
      </c>
      <c r="E378" s="2">
        <v>8274.39</v>
      </c>
      <c r="F378" s="2">
        <v>81512.929999999993</v>
      </c>
      <c r="I378" s="1"/>
    </row>
    <row r="379" spans="1:9" hidden="1">
      <c r="A379" s="2">
        <v>9500</v>
      </c>
      <c r="B379" s="1" t="s">
        <v>39</v>
      </c>
      <c r="C379" s="2">
        <v>9500</v>
      </c>
      <c r="D379" s="2">
        <v>9500</v>
      </c>
      <c r="E379" s="2">
        <v>9500</v>
      </c>
      <c r="F379" s="2">
        <v>133000</v>
      </c>
      <c r="I379" s="1"/>
    </row>
    <row r="380" spans="1:9" hidden="1">
      <c r="A380" s="2">
        <v>9500</v>
      </c>
      <c r="B380" s="1" t="s">
        <v>45</v>
      </c>
      <c r="C380" s="2">
        <v>1165.52</v>
      </c>
      <c r="D380" s="2">
        <v>1621.6499999999999</v>
      </c>
      <c r="E380" s="2">
        <v>580.38</v>
      </c>
      <c r="F380" s="2">
        <v>16188.269999999999</v>
      </c>
      <c r="I380" s="1"/>
    </row>
    <row r="381" spans="1:9" hidden="1">
      <c r="A381" s="2">
        <v>9500</v>
      </c>
      <c r="B381" s="1" t="s">
        <v>46</v>
      </c>
      <c r="C381" s="2">
        <v>2793.01</v>
      </c>
      <c r="D381" s="2">
        <v>435.5</v>
      </c>
      <c r="E381" s="2">
        <v>535.17759999999998</v>
      </c>
      <c r="F381" s="2">
        <v>34486.797600000005</v>
      </c>
      <c r="I381" s="1"/>
    </row>
    <row r="382" spans="1:9" hidden="1">
      <c r="A382" s="2">
        <v>9500</v>
      </c>
      <c r="B382" s="1" t="s">
        <v>40</v>
      </c>
      <c r="C382" s="2">
        <v>5541.47</v>
      </c>
      <c r="D382" s="2">
        <v>7442.85</v>
      </c>
      <c r="E382" s="2">
        <v>8384.44</v>
      </c>
      <c r="F382" s="2">
        <v>82324.930000000008</v>
      </c>
      <c r="I382" s="1"/>
    </row>
    <row r="383" spans="1:9" hidden="1">
      <c r="A383" s="2">
        <v>9600</v>
      </c>
      <c r="B383" s="1" t="s">
        <v>39</v>
      </c>
      <c r="C383" s="2">
        <v>9600</v>
      </c>
      <c r="D383" s="2">
        <v>9600</v>
      </c>
      <c r="E383" s="2">
        <v>9600</v>
      </c>
      <c r="F383" s="2">
        <v>134400</v>
      </c>
      <c r="I383" s="1"/>
    </row>
    <row r="384" spans="1:9" hidden="1">
      <c r="A384" s="2">
        <v>9600</v>
      </c>
      <c r="B384" s="1" t="s">
        <v>45</v>
      </c>
      <c r="C384" s="2">
        <v>1165.52</v>
      </c>
      <c r="D384" s="2">
        <v>1638.7199999999998</v>
      </c>
      <c r="E384" s="2">
        <v>563.30999999999995</v>
      </c>
      <c r="F384" s="2">
        <v>16188.269999999999</v>
      </c>
      <c r="I384" s="1"/>
    </row>
    <row r="385" spans="1:9" hidden="1">
      <c r="A385" s="2">
        <v>9600</v>
      </c>
      <c r="B385" s="1" t="s">
        <v>46</v>
      </c>
      <c r="C385" s="2">
        <v>2841.01</v>
      </c>
      <c r="D385" s="2">
        <v>440.48</v>
      </c>
      <c r="E385" s="2">
        <v>542.19759999999997</v>
      </c>
      <c r="F385" s="2">
        <v>35074.797600000005</v>
      </c>
      <c r="I385" s="1"/>
    </row>
    <row r="386" spans="1:9" hidden="1">
      <c r="A386" s="2">
        <v>9600</v>
      </c>
      <c r="B386" s="1" t="s">
        <v>40</v>
      </c>
      <c r="C386" s="2">
        <v>5593.47</v>
      </c>
      <c r="D386" s="2">
        <v>7520.8000000000011</v>
      </c>
      <c r="E386" s="2">
        <v>8494.49</v>
      </c>
      <c r="F386" s="2">
        <v>83136.930000000008</v>
      </c>
      <c r="I386" s="1"/>
    </row>
    <row r="387" spans="1:9" hidden="1">
      <c r="A387" s="2">
        <v>9700</v>
      </c>
      <c r="B387" s="1" t="s">
        <v>39</v>
      </c>
      <c r="C387" s="2">
        <v>9700</v>
      </c>
      <c r="D387" s="2">
        <v>9700</v>
      </c>
      <c r="E387" s="2">
        <v>9700</v>
      </c>
      <c r="F387" s="2">
        <v>135800</v>
      </c>
      <c r="I387" s="1"/>
    </row>
    <row r="388" spans="1:9" hidden="1">
      <c r="A388" s="2">
        <v>9700</v>
      </c>
      <c r="B388" s="1" t="s">
        <v>45</v>
      </c>
      <c r="C388" s="2">
        <v>1165.52</v>
      </c>
      <c r="D388" s="2">
        <v>1655.79</v>
      </c>
      <c r="E388" s="2">
        <v>546.24</v>
      </c>
      <c r="F388" s="2">
        <v>16188.269999999999</v>
      </c>
      <c r="I388" s="1"/>
    </row>
    <row r="389" spans="1:9" hidden="1">
      <c r="A389" s="2">
        <v>9700</v>
      </c>
      <c r="B389" s="1" t="s">
        <v>46</v>
      </c>
      <c r="C389" s="2">
        <v>2889.01</v>
      </c>
      <c r="D389" s="2">
        <v>445.45</v>
      </c>
      <c r="E389" s="2">
        <v>549.22760000000017</v>
      </c>
      <c r="F389" s="2">
        <v>35662.797599999998</v>
      </c>
      <c r="I389" s="1"/>
    </row>
    <row r="390" spans="1:9" hidden="1">
      <c r="A390" s="2">
        <v>9700</v>
      </c>
      <c r="B390" s="1" t="s">
        <v>40</v>
      </c>
      <c r="C390" s="2">
        <v>5645.47</v>
      </c>
      <c r="D390" s="2">
        <v>7598.76</v>
      </c>
      <c r="E390" s="2">
        <v>8604.5300000000007</v>
      </c>
      <c r="F390" s="2">
        <v>83948.93</v>
      </c>
      <c r="I390" s="1"/>
    </row>
    <row r="391" spans="1:9" hidden="1">
      <c r="A391" s="2">
        <v>9800</v>
      </c>
      <c r="B391" s="1" t="s">
        <v>39</v>
      </c>
      <c r="C391" s="2">
        <v>9800</v>
      </c>
      <c r="D391" s="2">
        <v>9800</v>
      </c>
      <c r="E391" s="2">
        <v>9800</v>
      </c>
      <c r="F391" s="2">
        <v>137200</v>
      </c>
      <c r="I391" s="1"/>
    </row>
    <row r="392" spans="1:9" hidden="1">
      <c r="A392" s="2">
        <v>9800</v>
      </c>
      <c r="B392" s="1" t="s">
        <v>45</v>
      </c>
      <c r="C392" s="2">
        <v>1165.52</v>
      </c>
      <c r="D392" s="2">
        <v>1672.86</v>
      </c>
      <c r="E392" s="2">
        <v>529.16999999999996</v>
      </c>
      <c r="F392" s="2">
        <v>16188.27</v>
      </c>
      <c r="I392" s="1"/>
    </row>
    <row r="393" spans="1:9" hidden="1">
      <c r="A393" s="2">
        <v>9800</v>
      </c>
      <c r="B393" s="1" t="s">
        <v>46</v>
      </c>
      <c r="C393" s="2">
        <v>2937.69</v>
      </c>
      <c r="D393" s="2">
        <v>450.43</v>
      </c>
      <c r="E393" s="2">
        <v>556.24760000000015</v>
      </c>
      <c r="F393" s="2">
        <v>36258.957600000002</v>
      </c>
      <c r="I393" s="1"/>
    </row>
    <row r="394" spans="1:9" hidden="1">
      <c r="A394" s="2">
        <v>9800</v>
      </c>
      <c r="B394" s="1" t="s">
        <v>40</v>
      </c>
      <c r="C394" s="2">
        <v>5696.79</v>
      </c>
      <c r="D394" s="2">
        <v>7676.71</v>
      </c>
      <c r="E394" s="2">
        <v>8714.58</v>
      </c>
      <c r="F394" s="2">
        <v>84752.77</v>
      </c>
      <c r="I394" s="1"/>
    </row>
    <row r="395" spans="1:9" hidden="1">
      <c r="A395" s="2">
        <v>9900</v>
      </c>
      <c r="B395" s="1" t="s">
        <v>39</v>
      </c>
      <c r="C395" s="2">
        <v>9900</v>
      </c>
      <c r="D395" s="2">
        <v>9900</v>
      </c>
      <c r="E395" s="2">
        <v>9900</v>
      </c>
      <c r="F395" s="2">
        <v>138600</v>
      </c>
      <c r="I395" s="1"/>
    </row>
    <row r="396" spans="1:9" hidden="1">
      <c r="A396" s="2">
        <v>9900</v>
      </c>
      <c r="B396" s="1" t="s">
        <v>45</v>
      </c>
      <c r="C396" s="2">
        <v>1165.52</v>
      </c>
      <c r="D396" s="2">
        <v>1689.9299999999998</v>
      </c>
      <c r="E396" s="2">
        <v>512.1</v>
      </c>
      <c r="F396" s="2">
        <v>16188.27</v>
      </c>
      <c r="I396" s="1"/>
    </row>
    <row r="397" spans="1:9" hidden="1">
      <c r="A397" s="2">
        <v>9900</v>
      </c>
      <c r="B397" s="1" t="s">
        <v>46</v>
      </c>
      <c r="C397" s="2">
        <v>2987.69</v>
      </c>
      <c r="D397" s="2">
        <v>455.4</v>
      </c>
      <c r="E397" s="2">
        <v>563.27760000000012</v>
      </c>
      <c r="F397" s="2">
        <v>36870.957600000002</v>
      </c>
      <c r="I397" s="1"/>
    </row>
    <row r="398" spans="1:9" hidden="1">
      <c r="A398" s="2">
        <v>9900</v>
      </c>
      <c r="B398" s="1" t="s">
        <v>40</v>
      </c>
      <c r="C398" s="2">
        <v>5746.79</v>
      </c>
      <c r="D398" s="2">
        <v>7754.67</v>
      </c>
      <c r="E398" s="2">
        <v>8824.6200000000008</v>
      </c>
      <c r="F398" s="2">
        <v>85540.76999999999</v>
      </c>
      <c r="I398" s="1"/>
    </row>
    <row r="399" spans="1:9" hidden="1">
      <c r="A399" s="2">
        <v>10000</v>
      </c>
      <c r="B399" s="1" t="s">
        <v>39</v>
      </c>
      <c r="C399" s="2">
        <v>10000</v>
      </c>
      <c r="D399" s="2">
        <v>10000</v>
      </c>
      <c r="E399" s="2">
        <v>10000</v>
      </c>
      <c r="F399" s="2">
        <v>140000</v>
      </c>
      <c r="I399" s="1"/>
    </row>
    <row r="400" spans="1:9" hidden="1">
      <c r="A400" s="2">
        <v>10000</v>
      </c>
      <c r="B400" s="1" t="s">
        <v>45</v>
      </c>
      <c r="C400" s="2">
        <v>1165.52</v>
      </c>
      <c r="D400" s="2">
        <v>1707</v>
      </c>
      <c r="E400" s="2">
        <v>495.03</v>
      </c>
      <c r="F400" s="2">
        <v>16188.27</v>
      </c>
      <c r="I400" s="1"/>
    </row>
    <row r="401" spans="1:9" hidden="1">
      <c r="A401" s="2">
        <v>10000</v>
      </c>
      <c r="B401" s="1" t="s">
        <v>46</v>
      </c>
      <c r="C401" s="2">
        <v>3037.69</v>
      </c>
      <c r="D401" s="2">
        <v>460.38</v>
      </c>
      <c r="E401" s="2">
        <v>570.29760000000022</v>
      </c>
      <c r="F401" s="2">
        <v>37482.957599999994</v>
      </c>
      <c r="I401" s="1"/>
    </row>
    <row r="402" spans="1:9" hidden="1">
      <c r="A402" s="2">
        <v>10000</v>
      </c>
      <c r="B402" s="1" t="s">
        <v>40</v>
      </c>
      <c r="C402" s="2">
        <v>5796.79</v>
      </c>
      <c r="D402" s="2">
        <v>7832.62</v>
      </c>
      <c r="E402" s="2">
        <v>8934.67</v>
      </c>
      <c r="F402" s="2">
        <v>86328.76999999999</v>
      </c>
      <c r="I402" s="1"/>
    </row>
    <row r="403" spans="1:9" hidden="1">
      <c r="A403" s="2">
        <v>10100</v>
      </c>
      <c r="B403" s="1" t="s">
        <v>39</v>
      </c>
      <c r="C403" s="2">
        <v>10100</v>
      </c>
      <c r="D403" s="2">
        <v>10100</v>
      </c>
      <c r="E403" s="2">
        <v>10100</v>
      </c>
      <c r="F403" s="2">
        <v>141400</v>
      </c>
      <c r="I403" s="1"/>
    </row>
    <row r="404" spans="1:9" hidden="1">
      <c r="A404" s="2">
        <v>10100</v>
      </c>
      <c r="B404" s="1" t="s">
        <v>45</v>
      </c>
      <c r="C404" s="2">
        <v>1165.52</v>
      </c>
      <c r="D404" s="2">
        <v>1724.07</v>
      </c>
      <c r="E404" s="2">
        <v>477.96</v>
      </c>
      <c r="F404" s="2">
        <v>16188.269999999999</v>
      </c>
      <c r="I404" s="1"/>
    </row>
    <row r="405" spans="1:9" hidden="1">
      <c r="A405" s="2">
        <v>10100</v>
      </c>
      <c r="B405" s="1" t="s">
        <v>46</v>
      </c>
      <c r="C405" s="2">
        <v>3087.69</v>
      </c>
      <c r="D405" s="2">
        <v>465.36</v>
      </c>
      <c r="E405" s="2">
        <v>577.3176000000002</v>
      </c>
      <c r="F405" s="2">
        <v>38094.957600000002</v>
      </c>
      <c r="I405" s="1"/>
    </row>
    <row r="406" spans="1:9" hidden="1">
      <c r="A406" s="2">
        <v>10100</v>
      </c>
      <c r="B406" s="1" t="s">
        <v>40</v>
      </c>
      <c r="C406" s="2">
        <v>5846.79</v>
      </c>
      <c r="D406" s="2">
        <v>7910.5700000000006</v>
      </c>
      <c r="E406" s="2">
        <v>9044.7199999999993</v>
      </c>
      <c r="F406" s="2">
        <v>87116.77</v>
      </c>
      <c r="I406" s="1"/>
    </row>
    <row r="407" spans="1:9" hidden="1">
      <c r="A407" s="2">
        <v>10200</v>
      </c>
      <c r="B407" s="1" t="s">
        <v>39</v>
      </c>
      <c r="C407" s="2">
        <v>10200</v>
      </c>
      <c r="D407" s="2">
        <v>10200</v>
      </c>
      <c r="E407" s="2">
        <v>10200</v>
      </c>
      <c r="F407" s="2">
        <v>142800</v>
      </c>
      <c r="I407" s="1"/>
    </row>
    <row r="408" spans="1:9" hidden="1">
      <c r="A408" s="2">
        <v>10200</v>
      </c>
      <c r="B408" s="1" t="s">
        <v>45</v>
      </c>
      <c r="C408" s="2">
        <v>1165.52</v>
      </c>
      <c r="D408" s="2">
        <v>1741.1399999999999</v>
      </c>
      <c r="E408" s="2">
        <v>460.89</v>
      </c>
      <c r="F408" s="2">
        <v>16188.269999999999</v>
      </c>
      <c r="I408" s="1"/>
    </row>
    <row r="409" spans="1:9" hidden="1">
      <c r="A409" s="2">
        <v>10200</v>
      </c>
      <c r="B409" s="1" t="s">
        <v>46</v>
      </c>
      <c r="C409" s="2">
        <v>3137.69</v>
      </c>
      <c r="D409" s="2">
        <v>470.33</v>
      </c>
      <c r="E409" s="2">
        <v>584.34760000000028</v>
      </c>
      <c r="F409" s="2">
        <v>38706.957600000002</v>
      </c>
      <c r="I409" s="1"/>
    </row>
    <row r="410" spans="1:9" hidden="1">
      <c r="A410" s="2">
        <v>10200</v>
      </c>
      <c r="B410" s="1" t="s">
        <v>40</v>
      </c>
      <c r="C410" s="2">
        <v>5896.79</v>
      </c>
      <c r="D410" s="2">
        <v>7988.5300000000007</v>
      </c>
      <c r="E410" s="2">
        <v>9154.76</v>
      </c>
      <c r="F410" s="2">
        <v>87904.76999999999</v>
      </c>
      <c r="I410" s="1"/>
    </row>
    <row r="411" spans="1:9" hidden="1">
      <c r="A411" s="2">
        <v>10300</v>
      </c>
      <c r="B411" s="1" t="s">
        <v>39</v>
      </c>
      <c r="C411" s="2">
        <v>10300</v>
      </c>
      <c r="D411" s="2">
        <v>10300</v>
      </c>
      <c r="E411" s="2">
        <v>10300</v>
      </c>
      <c r="F411" s="2">
        <v>144200</v>
      </c>
      <c r="I411" s="1"/>
    </row>
    <row r="412" spans="1:9" hidden="1">
      <c r="A412" s="2">
        <v>10300</v>
      </c>
      <c r="B412" s="1" t="s">
        <v>45</v>
      </c>
      <c r="C412" s="2">
        <v>1165.52</v>
      </c>
      <c r="D412" s="2">
        <v>1758.2099999999998</v>
      </c>
      <c r="E412" s="2">
        <v>443.82</v>
      </c>
      <c r="F412" s="2">
        <v>16188.269999999999</v>
      </c>
      <c r="I412" s="1"/>
    </row>
    <row r="413" spans="1:9" hidden="1">
      <c r="A413" s="2">
        <v>10300</v>
      </c>
      <c r="B413" s="1" t="s">
        <v>46</v>
      </c>
      <c r="C413" s="2">
        <v>3187.69</v>
      </c>
      <c r="D413" s="2">
        <v>475.31</v>
      </c>
      <c r="E413" s="2">
        <v>591.36760000000027</v>
      </c>
      <c r="F413" s="2">
        <v>39318.957599999994</v>
      </c>
      <c r="I413" s="1"/>
    </row>
    <row r="414" spans="1:9" hidden="1">
      <c r="A414" s="2">
        <v>10300</v>
      </c>
      <c r="B414" s="1" t="s">
        <v>40</v>
      </c>
      <c r="C414" s="2">
        <v>5946.79</v>
      </c>
      <c r="D414" s="2">
        <v>8066.4800000000005</v>
      </c>
      <c r="E414" s="2">
        <v>9264.81</v>
      </c>
      <c r="F414" s="2">
        <v>88692.76999999999</v>
      </c>
      <c r="I414" s="1"/>
    </row>
    <row r="415" spans="1:9" hidden="1">
      <c r="A415" s="2">
        <v>10400</v>
      </c>
      <c r="B415" s="1" t="s">
        <v>39</v>
      </c>
      <c r="C415" s="2">
        <v>10400</v>
      </c>
      <c r="D415" s="2">
        <v>10400</v>
      </c>
      <c r="E415" s="2">
        <v>10400</v>
      </c>
      <c r="F415" s="2">
        <v>145600</v>
      </c>
      <c r="I415" s="1"/>
    </row>
    <row r="416" spans="1:9" hidden="1">
      <c r="A416" s="2">
        <v>10400</v>
      </c>
      <c r="B416" s="1" t="s">
        <v>45</v>
      </c>
      <c r="C416" s="2">
        <v>1165.52</v>
      </c>
      <c r="D416" s="2">
        <v>1775.28</v>
      </c>
      <c r="E416" s="2">
        <v>426.75</v>
      </c>
      <c r="F416" s="2">
        <v>16188.27</v>
      </c>
      <c r="I416" s="1"/>
    </row>
    <row r="417" spans="1:9" hidden="1">
      <c r="A417" s="2">
        <v>10400</v>
      </c>
      <c r="B417" s="1" t="s">
        <v>46</v>
      </c>
      <c r="C417" s="2">
        <v>3237.69</v>
      </c>
      <c r="D417" s="2">
        <v>480.28</v>
      </c>
      <c r="E417" s="2">
        <v>598.39760000000024</v>
      </c>
      <c r="F417" s="2">
        <v>39930.957599999994</v>
      </c>
      <c r="I417" s="1"/>
    </row>
    <row r="418" spans="1:9" hidden="1">
      <c r="A418" s="2">
        <v>10400</v>
      </c>
      <c r="B418" s="1" t="s">
        <v>40</v>
      </c>
      <c r="C418" s="2">
        <v>5996.79</v>
      </c>
      <c r="D418" s="2">
        <v>8144.44</v>
      </c>
      <c r="E418" s="2">
        <v>9374.85</v>
      </c>
      <c r="F418" s="2">
        <v>89480.77</v>
      </c>
      <c r="I418" s="1"/>
    </row>
    <row r="419" spans="1:9" hidden="1">
      <c r="A419" s="2">
        <v>10500</v>
      </c>
      <c r="B419" s="1" t="s">
        <v>39</v>
      </c>
      <c r="C419" s="2">
        <v>10500</v>
      </c>
      <c r="D419" s="2">
        <v>10500</v>
      </c>
      <c r="E419" s="2">
        <v>10500</v>
      </c>
      <c r="F419" s="2">
        <v>147000</v>
      </c>
      <c r="I419" s="1"/>
    </row>
    <row r="420" spans="1:9" hidden="1">
      <c r="A420" s="2">
        <v>10500</v>
      </c>
      <c r="B420" s="1" t="s">
        <v>45</v>
      </c>
      <c r="C420" s="2">
        <v>1165.52</v>
      </c>
      <c r="D420" s="2">
        <v>1792.35</v>
      </c>
      <c r="E420" s="2">
        <v>409.67999999999995</v>
      </c>
      <c r="F420" s="2">
        <v>16188.27</v>
      </c>
      <c r="I420" s="1"/>
    </row>
    <row r="421" spans="1:9" hidden="1">
      <c r="A421" s="2">
        <v>10500</v>
      </c>
      <c r="B421" s="1" t="s">
        <v>46</v>
      </c>
      <c r="C421" s="2">
        <v>3287.69</v>
      </c>
      <c r="D421" s="2">
        <v>485.26</v>
      </c>
      <c r="E421" s="2">
        <v>605.41760000000022</v>
      </c>
      <c r="F421" s="2">
        <v>40542.957600000002</v>
      </c>
      <c r="I421" s="1"/>
    </row>
    <row r="422" spans="1:9" hidden="1">
      <c r="A422" s="2">
        <v>10500</v>
      </c>
      <c r="B422" s="1" t="s">
        <v>40</v>
      </c>
      <c r="C422" s="2">
        <v>6046.79</v>
      </c>
      <c r="D422" s="2">
        <v>8222.39</v>
      </c>
      <c r="E422" s="2">
        <v>9484.9</v>
      </c>
      <c r="F422" s="2">
        <v>90268.76999999999</v>
      </c>
      <c r="I422" s="1"/>
    </row>
    <row r="423" spans="1:9" hidden="1">
      <c r="A423" s="2">
        <v>10600</v>
      </c>
      <c r="B423" s="1" t="s">
        <v>39</v>
      </c>
      <c r="C423" s="2">
        <v>10600</v>
      </c>
      <c r="D423" s="2">
        <v>10600</v>
      </c>
      <c r="E423" s="2">
        <v>10600</v>
      </c>
      <c r="F423" s="2">
        <v>148400</v>
      </c>
      <c r="I423" s="1"/>
    </row>
    <row r="424" spans="1:9" hidden="1">
      <c r="A424" s="2">
        <v>10600</v>
      </c>
      <c r="B424" s="1" t="s">
        <v>45</v>
      </c>
      <c r="C424" s="2">
        <v>1165.52</v>
      </c>
      <c r="D424" s="2">
        <v>1809.4199999999998</v>
      </c>
      <c r="E424" s="2">
        <v>392.60999999999996</v>
      </c>
      <c r="F424" s="2">
        <v>16188.27</v>
      </c>
      <c r="I424" s="1"/>
    </row>
    <row r="425" spans="1:9" hidden="1">
      <c r="A425" s="2">
        <v>10600</v>
      </c>
      <c r="B425" s="1" t="s">
        <v>46</v>
      </c>
      <c r="C425" s="2">
        <v>3337.69</v>
      </c>
      <c r="D425" s="2">
        <v>490.23</v>
      </c>
      <c r="E425" s="2">
        <v>612.44760000000019</v>
      </c>
      <c r="F425" s="2">
        <v>41154.957600000002</v>
      </c>
      <c r="I425" s="1"/>
    </row>
    <row r="426" spans="1:9" hidden="1">
      <c r="A426" s="2">
        <v>10600</v>
      </c>
      <c r="B426" s="1" t="s">
        <v>40</v>
      </c>
      <c r="C426" s="2">
        <v>6096.79</v>
      </c>
      <c r="D426" s="2">
        <v>8300.35</v>
      </c>
      <c r="E426" s="2">
        <v>9594.94</v>
      </c>
      <c r="F426" s="2">
        <v>91056.77</v>
      </c>
      <c r="I426" s="1"/>
    </row>
    <row r="427" spans="1:9" hidden="1">
      <c r="A427" s="2">
        <v>10700</v>
      </c>
      <c r="B427" s="1" t="s">
        <v>39</v>
      </c>
      <c r="C427" s="2">
        <v>10700</v>
      </c>
      <c r="D427" s="2">
        <v>10700</v>
      </c>
      <c r="E427" s="2">
        <v>10700</v>
      </c>
      <c r="F427" s="2">
        <v>149800</v>
      </c>
      <c r="I427" s="1"/>
    </row>
    <row r="428" spans="1:9" hidden="1">
      <c r="A428" s="2">
        <v>10700</v>
      </c>
      <c r="B428" s="1" t="s">
        <v>45</v>
      </c>
      <c r="C428" s="2">
        <v>1165.52</v>
      </c>
      <c r="D428" s="2">
        <v>1826.49</v>
      </c>
      <c r="E428" s="2">
        <v>375.53999999999996</v>
      </c>
      <c r="F428" s="2">
        <v>16188.27</v>
      </c>
      <c r="I428" s="1"/>
    </row>
    <row r="429" spans="1:9" hidden="1">
      <c r="A429" s="2">
        <v>10700</v>
      </c>
      <c r="B429" s="1" t="s">
        <v>46</v>
      </c>
      <c r="C429" s="2">
        <v>3387.69</v>
      </c>
      <c r="D429" s="2">
        <v>495.21</v>
      </c>
      <c r="E429" s="2">
        <v>619.46760000000017</v>
      </c>
      <c r="F429" s="2">
        <v>41766.957600000002</v>
      </c>
      <c r="I429" s="1"/>
    </row>
    <row r="430" spans="1:9" hidden="1">
      <c r="A430" s="2">
        <v>10700</v>
      </c>
      <c r="B430" s="1" t="s">
        <v>40</v>
      </c>
      <c r="C430" s="2">
        <v>6146.79</v>
      </c>
      <c r="D430" s="2">
        <v>8378.3000000000011</v>
      </c>
      <c r="E430" s="2">
        <v>9704.99</v>
      </c>
      <c r="F430" s="2">
        <v>91844.77</v>
      </c>
      <c r="I430" s="1"/>
    </row>
    <row r="431" spans="1:9" hidden="1">
      <c r="A431" s="2">
        <v>10800</v>
      </c>
      <c r="B431" s="1" t="s">
        <v>39</v>
      </c>
      <c r="C431" s="2">
        <v>10800</v>
      </c>
      <c r="D431" s="2">
        <v>10800</v>
      </c>
      <c r="E431" s="2">
        <v>10800</v>
      </c>
      <c r="F431" s="2">
        <v>151200</v>
      </c>
      <c r="I431" s="1"/>
    </row>
    <row r="432" spans="1:9" hidden="1">
      <c r="A432" s="2">
        <v>10800</v>
      </c>
      <c r="B432" s="1" t="s">
        <v>45</v>
      </c>
      <c r="C432" s="2">
        <v>1165.52</v>
      </c>
      <c r="D432" s="2">
        <v>1843.56</v>
      </c>
      <c r="E432" s="2">
        <v>358.46999999999997</v>
      </c>
      <c r="F432" s="2">
        <v>16188.269999999999</v>
      </c>
      <c r="I432" s="1"/>
    </row>
    <row r="433" spans="1:9" hidden="1">
      <c r="A433" s="2">
        <v>10800</v>
      </c>
      <c r="B433" s="1" t="s">
        <v>46</v>
      </c>
      <c r="C433" s="2">
        <v>3437.69</v>
      </c>
      <c r="D433" s="2">
        <v>500.19</v>
      </c>
      <c r="E433" s="2">
        <v>626.48760000000016</v>
      </c>
      <c r="F433" s="2">
        <v>42378.957600000002</v>
      </c>
      <c r="I433" s="1"/>
    </row>
    <row r="434" spans="1:9" hidden="1">
      <c r="A434" s="2">
        <v>10800</v>
      </c>
      <c r="B434" s="1" t="s">
        <v>40</v>
      </c>
      <c r="C434" s="2">
        <v>6196.79</v>
      </c>
      <c r="D434" s="2">
        <v>8456.25</v>
      </c>
      <c r="E434" s="2">
        <v>9815.0400000000009</v>
      </c>
      <c r="F434" s="2">
        <v>92632.76999999999</v>
      </c>
      <c r="I434" s="1"/>
    </row>
    <row r="435" spans="1:9" hidden="1">
      <c r="A435" s="2">
        <v>10900</v>
      </c>
      <c r="B435" s="1" t="s">
        <v>39</v>
      </c>
      <c r="C435" s="2">
        <v>10900</v>
      </c>
      <c r="D435" s="2">
        <v>10900</v>
      </c>
      <c r="E435" s="2">
        <v>10900</v>
      </c>
      <c r="F435" s="2">
        <v>152600</v>
      </c>
      <c r="I435" s="1"/>
    </row>
    <row r="436" spans="1:9" hidden="1">
      <c r="A436" s="2">
        <v>10900</v>
      </c>
      <c r="B436" s="1" t="s">
        <v>45</v>
      </c>
      <c r="C436" s="2">
        <v>1165.52</v>
      </c>
      <c r="D436" s="2">
        <v>1860.6299999999999</v>
      </c>
      <c r="E436" s="2">
        <v>341.4</v>
      </c>
      <c r="F436" s="2">
        <v>16188.269999999999</v>
      </c>
      <c r="I436" s="1"/>
    </row>
    <row r="437" spans="1:9" hidden="1">
      <c r="A437" s="2">
        <v>10900</v>
      </c>
      <c r="B437" s="1" t="s">
        <v>46</v>
      </c>
      <c r="C437" s="2">
        <v>3487.69</v>
      </c>
      <c r="D437" s="2">
        <v>505.16</v>
      </c>
      <c r="E437" s="2">
        <v>633.51760000000013</v>
      </c>
      <c r="F437" s="2">
        <v>42990.957600000002</v>
      </c>
      <c r="I437" s="1"/>
    </row>
    <row r="438" spans="1:9" hidden="1">
      <c r="A438" s="2">
        <v>10900</v>
      </c>
      <c r="B438" s="1" t="s">
        <v>40</v>
      </c>
      <c r="C438" s="2">
        <v>6246.79</v>
      </c>
      <c r="D438" s="2">
        <v>8534.2100000000009</v>
      </c>
      <c r="E438" s="2">
        <v>9925.08</v>
      </c>
      <c r="F438" s="2">
        <v>93420.77</v>
      </c>
      <c r="I438" s="1"/>
    </row>
    <row r="439" spans="1:9" hidden="1">
      <c r="A439" s="2">
        <v>11000</v>
      </c>
      <c r="B439" s="1" t="s">
        <v>39</v>
      </c>
      <c r="C439" s="2">
        <v>11000</v>
      </c>
      <c r="D439" s="2">
        <v>11000</v>
      </c>
      <c r="E439" s="2">
        <v>11000</v>
      </c>
      <c r="F439" s="2">
        <v>154000</v>
      </c>
      <c r="I439" s="1"/>
    </row>
    <row r="440" spans="1:9" hidden="1">
      <c r="A440" s="2">
        <v>11000</v>
      </c>
      <c r="B440" s="1" t="s">
        <v>45</v>
      </c>
      <c r="C440" s="2">
        <v>1165.52</v>
      </c>
      <c r="D440" s="2">
        <v>1877.6999999999998</v>
      </c>
      <c r="E440" s="2">
        <v>324.33</v>
      </c>
      <c r="F440" s="2">
        <v>16188.269999999999</v>
      </c>
      <c r="I440" s="1"/>
    </row>
    <row r="441" spans="1:9" hidden="1">
      <c r="A441" s="2">
        <v>11000</v>
      </c>
      <c r="B441" s="1" t="s">
        <v>46</v>
      </c>
      <c r="C441" s="2">
        <v>3537.69</v>
      </c>
      <c r="D441" s="2">
        <v>510.14</v>
      </c>
      <c r="E441" s="2">
        <v>640.53760000000023</v>
      </c>
      <c r="F441" s="2">
        <v>43602.957600000002</v>
      </c>
      <c r="I441" s="1"/>
    </row>
    <row r="442" spans="1:9" hidden="1">
      <c r="A442" s="2">
        <v>11000</v>
      </c>
      <c r="B442" s="1" t="s">
        <v>40</v>
      </c>
      <c r="C442" s="2">
        <v>6296.79</v>
      </c>
      <c r="D442" s="2">
        <v>8612.16</v>
      </c>
      <c r="E442" s="2">
        <v>10035.129999999999</v>
      </c>
      <c r="F442" s="2">
        <v>94208.77</v>
      </c>
      <c r="I442" s="1"/>
    </row>
    <row r="443" spans="1:9" hidden="1">
      <c r="A443" s="2">
        <v>11100</v>
      </c>
      <c r="B443" s="1" t="s">
        <v>39</v>
      </c>
      <c r="C443" s="2">
        <v>11100</v>
      </c>
      <c r="D443" s="2">
        <v>11100</v>
      </c>
      <c r="E443" s="2">
        <v>11100</v>
      </c>
      <c r="F443" s="2">
        <v>155400</v>
      </c>
      <c r="I443" s="1"/>
    </row>
    <row r="444" spans="1:9" hidden="1">
      <c r="A444" s="2">
        <v>11100</v>
      </c>
      <c r="B444" s="1" t="s">
        <v>45</v>
      </c>
      <c r="C444" s="2">
        <v>1165.52</v>
      </c>
      <c r="D444" s="2">
        <v>1894.77</v>
      </c>
      <c r="E444" s="2">
        <v>307.26</v>
      </c>
      <c r="F444" s="2">
        <v>16188.27</v>
      </c>
      <c r="I444" s="1"/>
    </row>
    <row r="445" spans="1:9" hidden="1">
      <c r="A445" s="2">
        <v>11100</v>
      </c>
      <c r="B445" s="1" t="s">
        <v>46</v>
      </c>
      <c r="C445" s="2">
        <v>3587.69</v>
      </c>
      <c r="D445" s="2">
        <v>515.11</v>
      </c>
      <c r="E445" s="2">
        <v>647.5676000000002</v>
      </c>
      <c r="F445" s="2">
        <v>44214.957600000002</v>
      </c>
      <c r="I445" s="1"/>
    </row>
    <row r="446" spans="1:9" hidden="1">
      <c r="A446" s="2">
        <v>11100</v>
      </c>
      <c r="B446" s="1" t="s">
        <v>40</v>
      </c>
      <c r="C446" s="2">
        <v>6346.79</v>
      </c>
      <c r="D446" s="2">
        <v>8690.119999999999</v>
      </c>
      <c r="E446" s="2">
        <v>10145.17</v>
      </c>
      <c r="F446" s="2">
        <v>94996.76999999999</v>
      </c>
      <c r="I446" s="1"/>
    </row>
    <row r="447" spans="1:9" hidden="1">
      <c r="A447" s="2">
        <v>11200</v>
      </c>
      <c r="B447" s="1" t="s">
        <v>39</v>
      </c>
      <c r="C447" s="2">
        <v>11200</v>
      </c>
      <c r="D447" s="2">
        <v>11200</v>
      </c>
      <c r="E447" s="2">
        <v>11200</v>
      </c>
      <c r="F447" s="2">
        <v>156800</v>
      </c>
      <c r="I447" s="1"/>
    </row>
    <row r="448" spans="1:9" hidden="1">
      <c r="A448" s="2">
        <v>11200</v>
      </c>
      <c r="B448" s="1" t="s">
        <v>45</v>
      </c>
      <c r="C448" s="2">
        <v>1165.52</v>
      </c>
      <c r="D448" s="2">
        <v>1911.84</v>
      </c>
      <c r="E448" s="2">
        <v>290.19</v>
      </c>
      <c r="F448" s="2">
        <v>16188.27</v>
      </c>
      <c r="I448" s="1"/>
    </row>
    <row r="449" spans="1:9" hidden="1">
      <c r="A449" s="2">
        <v>11200</v>
      </c>
      <c r="B449" s="1" t="s">
        <v>46</v>
      </c>
      <c r="C449" s="2">
        <v>3637.69</v>
      </c>
      <c r="D449" s="2">
        <v>520.09</v>
      </c>
      <c r="E449" s="2">
        <v>654.58760000000018</v>
      </c>
      <c r="F449" s="2">
        <v>44826.957599999994</v>
      </c>
      <c r="I449" s="1"/>
    </row>
    <row r="450" spans="1:9" hidden="1">
      <c r="A450" s="2">
        <v>11200</v>
      </c>
      <c r="B450" s="1" t="s">
        <v>40</v>
      </c>
      <c r="C450" s="2">
        <v>6396.79</v>
      </c>
      <c r="D450" s="2">
        <v>8768.07</v>
      </c>
      <c r="E450" s="2">
        <v>10255.219999999999</v>
      </c>
      <c r="F450" s="2">
        <v>95784.76999999999</v>
      </c>
      <c r="I450" s="1"/>
    </row>
    <row r="451" spans="1:9" hidden="1">
      <c r="A451" s="2">
        <v>11300</v>
      </c>
      <c r="B451" s="1" t="s">
        <v>39</v>
      </c>
      <c r="C451" s="2">
        <v>11300</v>
      </c>
      <c r="D451" s="2">
        <v>11300</v>
      </c>
      <c r="E451" s="2">
        <v>11300</v>
      </c>
      <c r="F451" s="2">
        <v>158200</v>
      </c>
      <c r="I451" s="1"/>
    </row>
    <row r="452" spans="1:9" hidden="1">
      <c r="A452" s="2">
        <v>11300</v>
      </c>
      <c r="B452" s="1" t="s">
        <v>45</v>
      </c>
      <c r="C452" s="2">
        <v>1165.52</v>
      </c>
      <c r="D452" s="2">
        <v>1928.9099999999999</v>
      </c>
      <c r="E452" s="2">
        <v>273.12</v>
      </c>
      <c r="F452" s="2">
        <v>16188.27</v>
      </c>
      <c r="I452" s="1"/>
    </row>
    <row r="453" spans="1:9" hidden="1">
      <c r="A453" s="2">
        <v>11300</v>
      </c>
      <c r="B453" s="1" t="s">
        <v>46</v>
      </c>
      <c r="C453" s="2">
        <v>3687.69</v>
      </c>
      <c r="D453" s="2">
        <v>525.05999999999995</v>
      </c>
      <c r="E453" s="2">
        <v>661.61760000000027</v>
      </c>
      <c r="F453" s="2">
        <v>45438.957599999994</v>
      </c>
      <c r="I453" s="1"/>
    </row>
    <row r="454" spans="1:9" hidden="1">
      <c r="A454" s="2">
        <v>11300</v>
      </c>
      <c r="B454" s="1" t="s">
        <v>40</v>
      </c>
      <c r="C454" s="2">
        <v>6446.79</v>
      </c>
      <c r="D454" s="2">
        <v>8846.0300000000007</v>
      </c>
      <c r="E454" s="2">
        <v>10365.26</v>
      </c>
      <c r="F454" s="2">
        <v>96572.76999999999</v>
      </c>
      <c r="I454" s="1"/>
    </row>
    <row r="455" spans="1:9" hidden="1">
      <c r="A455" s="2">
        <v>11400</v>
      </c>
      <c r="B455" s="1" t="s">
        <v>39</v>
      </c>
      <c r="C455" s="2">
        <v>11400</v>
      </c>
      <c r="D455" s="2">
        <v>11400</v>
      </c>
      <c r="E455" s="2">
        <v>11400</v>
      </c>
      <c r="F455" s="2">
        <v>159600</v>
      </c>
      <c r="I455" s="1"/>
    </row>
    <row r="456" spans="1:9" hidden="1">
      <c r="A456" s="2">
        <v>11400</v>
      </c>
      <c r="B456" s="1" t="s">
        <v>45</v>
      </c>
      <c r="C456" s="2">
        <v>1165.52</v>
      </c>
      <c r="D456" s="2">
        <v>1945.9799999999998</v>
      </c>
      <c r="E456" s="2">
        <v>256.05</v>
      </c>
      <c r="F456" s="2">
        <v>16188.269999999999</v>
      </c>
      <c r="I456" s="1"/>
    </row>
    <row r="457" spans="1:9" hidden="1">
      <c r="A457" s="2">
        <v>11400</v>
      </c>
      <c r="B457" s="1" t="s">
        <v>46</v>
      </c>
      <c r="C457" s="2">
        <v>3737.69</v>
      </c>
      <c r="D457" s="2">
        <v>530.04</v>
      </c>
      <c r="E457" s="2">
        <v>668.63760000000025</v>
      </c>
      <c r="F457" s="2">
        <v>46050.957600000002</v>
      </c>
      <c r="I457" s="1"/>
    </row>
    <row r="458" spans="1:9" hidden="1">
      <c r="A458" s="2">
        <v>11400</v>
      </c>
      <c r="B458" s="1" t="s">
        <v>40</v>
      </c>
      <c r="C458" s="2">
        <v>6496.79</v>
      </c>
      <c r="D458" s="2">
        <v>8923.98</v>
      </c>
      <c r="E458" s="2">
        <v>10475.31</v>
      </c>
      <c r="F458" s="2">
        <v>97360.76999999999</v>
      </c>
      <c r="I458" s="1"/>
    </row>
    <row r="459" spans="1:9" hidden="1">
      <c r="A459" s="2">
        <v>11500</v>
      </c>
      <c r="B459" s="1" t="s">
        <v>39</v>
      </c>
      <c r="C459" s="2">
        <v>11500</v>
      </c>
      <c r="D459" s="2">
        <v>11500</v>
      </c>
      <c r="E459" s="2">
        <v>11500</v>
      </c>
      <c r="F459" s="2">
        <v>161000</v>
      </c>
      <c r="I459" s="1"/>
    </row>
    <row r="460" spans="1:9" hidden="1">
      <c r="A460" s="2">
        <v>11500</v>
      </c>
      <c r="B460" s="1" t="s">
        <v>45</v>
      </c>
      <c r="C460" s="2">
        <v>1165.52</v>
      </c>
      <c r="D460" s="2">
        <v>1963.05</v>
      </c>
      <c r="E460" s="2">
        <v>238.98</v>
      </c>
      <c r="F460" s="2">
        <v>16188.269999999999</v>
      </c>
      <c r="I460" s="1"/>
    </row>
    <row r="461" spans="1:9" hidden="1">
      <c r="A461" s="2">
        <v>11500</v>
      </c>
      <c r="B461" s="1" t="s">
        <v>46</v>
      </c>
      <c r="C461" s="2">
        <v>3787.69</v>
      </c>
      <c r="D461" s="2">
        <v>535.02</v>
      </c>
      <c r="E461" s="2">
        <v>675.65760000000023</v>
      </c>
      <c r="F461" s="2">
        <v>46662.957599999994</v>
      </c>
      <c r="I461" s="1"/>
    </row>
    <row r="462" spans="1:9" hidden="1">
      <c r="A462" s="2">
        <v>11500</v>
      </c>
      <c r="B462" s="1" t="s">
        <v>40</v>
      </c>
      <c r="C462" s="2">
        <v>6546.79</v>
      </c>
      <c r="D462" s="2">
        <v>9001.93</v>
      </c>
      <c r="E462" s="2">
        <v>10585.36</v>
      </c>
      <c r="F462" s="2">
        <v>98148.77</v>
      </c>
      <c r="I462" s="1"/>
    </row>
    <row r="463" spans="1:9" hidden="1">
      <c r="A463" s="2">
        <v>11600</v>
      </c>
      <c r="B463" s="1" t="s">
        <v>39</v>
      </c>
      <c r="C463" s="2">
        <v>11600</v>
      </c>
      <c r="D463" s="2">
        <v>11600</v>
      </c>
      <c r="E463" s="2">
        <v>11600</v>
      </c>
      <c r="F463" s="2">
        <v>162400</v>
      </c>
      <c r="I463" s="1"/>
    </row>
    <row r="464" spans="1:9" hidden="1">
      <c r="A464" s="2">
        <v>11600</v>
      </c>
      <c r="B464" s="1" t="s">
        <v>45</v>
      </c>
      <c r="C464" s="2">
        <v>1165.52</v>
      </c>
      <c r="D464" s="2">
        <v>1980.12</v>
      </c>
      <c r="E464" s="2">
        <v>221.91</v>
      </c>
      <c r="F464" s="2">
        <v>16188.27</v>
      </c>
      <c r="I464" s="1"/>
    </row>
    <row r="465" spans="1:9" hidden="1">
      <c r="A465" s="2">
        <v>11600</v>
      </c>
      <c r="B465" s="1" t="s">
        <v>46</v>
      </c>
      <c r="C465" s="2">
        <v>3837.69</v>
      </c>
      <c r="D465" s="2">
        <v>539.99</v>
      </c>
      <c r="E465" s="2">
        <v>682.6876000000002</v>
      </c>
      <c r="F465" s="2">
        <v>47274.957599999994</v>
      </c>
      <c r="I465" s="1"/>
    </row>
    <row r="466" spans="1:9" hidden="1">
      <c r="A466" s="2">
        <v>11600</v>
      </c>
      <c r="B466" s="1" t="s">
        <v>40</v>
      </c>
      <c r="C466" s="2">
        <v>6596.79</v>
      </c>
      <c r="D466" s="2">
        <v>9079.8900000000012</v>
      </c>
      <c r="E466" s="2">
        <v>10695.4</v>
      </c>
      <c r="F466" s="2">
        <v>98936.76999999999</v>
      </c>
      <c r="I466" s="1"/>
    </row>
    <row r="467" spans="1:9" hidden="1">
      <c r="A467" s="2">
        <v>11700</v>
      </c>
      <c r="B467" s="1" t="s">
        <v>39</v>
      </c>
      <c r="C467" s="2">
        <v>11700</v>
      </c>
      <c r="D467" s="2">
        <v>11700</v>
      </c>
      <c r="E467" s="2">
        <v>11700</v>
      </c>
      <c r="F467" s="2">
        <v>163800</v>
      </c>
      <c r="I467" s="1"/>
    </row>
    <row r="468" spans="1:9" hidden="1">
      <c r="A468" s="2">
        <v>11700</v>
      </c>
      <c r="B468" s="1" t="s">
        <v>45</v>
      </c>
      <c r="C468" s="2">
        <v>1165.52</v>
      </c>
      <c r="D468" s="2">
        <v>1997.1899999999998</v>
      </c>
      <c r="E468" s="2">
        <v>204.83999999999997</v>
      </c>
      <c r="F468" s="2">
        <v>16188.27</v>
      </c>
      <c r="I468" s="1"/>
    </row>
    <row r="469" spans="1:9" hidden="1">
      <c r="A469" s="2">
        <v>11700</v>
      </c>
      <c r="B469" s="1" t="s">
        <v>46</v>
      </c>
      <c r="C469" s="2">
        <v>3887.69</v>
      </c>
      <c r="D469" s="2">
        <v>544.97</v>
      </c>
      <c r="E469" s="2">
        <v>689.70760000000018</v>
      </c>
      <c r="F469" s="2">
        <v>47886.957600000002</v>
      </c>
      <c r="I469" s="1"/>
    </row>
    <row r="470" spans="1:9" hidden="1">
      <c r="A470" s="2">
        <v>11700</v>
      </c>
      <c r="B470" s="1" t="s">
        <v>40</v>
      </c>
      <c r="C470" s="2">
        <v>6646.79</v>
      </c>
      <c r="D470" s="2">
        <v>9157.84</v>
      </c>
      <c r="E470" s="2">
        <v>10805.45</v>
      </c>
      <c r="F470" s="2">
        <v>99724.76999999999</v>
      </c>
      <c r="I470" s="1"/>
    </row>
    <row r="471" spans="1:9" hidden="1">
      <c r="A471" s="2">
        <v>11800</v>
      </c>
      <c r="B471" s="1" t="s">
        <v>39</v>
      </c>
      <c r="C471" s="2">
        <v>11800</v>
      </c>
      <c r="D471" s="2">
        <v>11800</v>
      </c>
      <c r="E471" s="2">
        <v>11800</v>
      </c>
      <c r="F471" s="2">
        <v>165200</v>
      </c>
      <c r="I471" s="1"/>
    </row>
    <row r="472" spans="1:9" hidden="1">
      <c r="A472" s="2">
        <v>11800</v>
      </c>
      <c r="B472" s="1" t="s">
        <v>45</v>
      </c>
      <c r="C472" s="2">
        <v>1165.52</v>
      </c>
      <c r="D472" s="2">
        <v>2014.26</v>
      </c>
      <c r="E472" s="2">
        <v>187.76999999999998</v>
      </c>
      <c r="F472" s="2">
        <v>16188.27</v>
      </c>
      <c r="I472" s="1"/>
    </row>
    <row r="473" spans="1:9" hidden="1">
      <c r="A473" s="2">
        <v>11800</v>
      </c>
      <c r="B473" s="1" t="s">
        <v>46</v>
      </c>
      <c r="C473" s="2">
        <v>3937.69</v>
      </c>
      <c r="D473" s="2">
        <v>549.94000000000005</v>
      </c>
      <c r="E473" s="2">
        <v>696.73760000000016</v>
      </c>
      <c r="F473" s="2">
        <v>48498.957600000002</v>
      </c>
      <c r="I473" s="1"/>
    </row>
    <row r="474" spans="1:9" hidden="1">
      <c r="A474" s="2">
        <v>11800</v>
      </c>
      <c r="B474" s="1" t="s">
        <v>40</v>
      </c>
      <c r="C474" s="2">
        <v>6696.79</v>
      </c>
      <c r="D474" s="2">
        <v>9235.7999999999993</v>
      </c>
      <c r="E474" s="2">
        <v>10915.49</v>
      </c>
      <c r="F474" s="2">
        <v>100512.77</v>
      </c>
      <c r="I474" s="1"/>
    </row>
    <row r="475" spans="1:9" hidden="1">
      <c r="A475" s="2">
        <v>11900</v>
      </c>
      <c r="B475" s="1" t="s">
        <v>39</v>
      </c>
      <c r="C475" s="2">
        <v>11900</v>
      </c>
      <c r="D475" s="2">
        <v>11900</v>
      </c>
      <c r="E475" s="2">
        <v>11900</v>
      </c>
      <c r="F475" s="2">
        <v>166600</v>
      </c>
      <c r="I475" s="1"/>
    </row>
    <row r="476" spans="1:9" hidden="1">
      <c r="A476" s="2">
        <v>11900</v>
      </c>
      <c r="B476" s="1" t="s">
        <v>45</v>
      </c>
      <c r="C476" s="2">
        <v>1165.52</v>
      </c>
      <c r="D476" s="2">
        <v>2031.33</v>
      </c>
      <c r="E476" s="2">
        <v>170.7</v>
      </c>
      <c r="F476" s="2">
        <v>16188.27</v>
      </c>
      <c r="I476" s="1"/>
    </row>
    <row r="477" spans="1:9" hidden="1">
      <c r="A477" s="2">
        <v>11900</v>
      </c>
      <c r="B477" s="1" t="s">
        <v>46</v>
      </c>
      <c r="C477" s="2">
        <v>3987.69</v>
      </c>
      <c r="D477" s="2">
        <v>554.91999999999996</v>
      </c>
      <c r="E477" s="2">
        <v>703.75760000000025</v>
      </c>
      <c r="F477" s="2">
        <v>49110.957599999994</v>
      </c>
      <c r="I477" s="1"/>
    </row>
    <row r="478" spans="1:9" hidden="1">
      <c r="A478" s="2">
        <v>11900</v>
      </c>
      <c r="B478" s="1" t="s">
        <v>40</v>
      </c>
      <c r="C478" s="2">
        <v>6746.79</v>
      </c>
      <c r="D478" s="2">
        <v>9313.75</v>
      </c>
      <c r="E478" s="2">
        <v>11025.54</v>
      </c>
      <c r="F478" s="2">
        <v>101300.76999999999</v>
      </c>
      <c r="I478" s="1"/>
    </row>
    <row r="479" spans="1:9" hidden="1">
      <c r="A479" s="2">
        <v>12000</v>
      </c>
      <c r="B479" s="1" t="s">
        <v>39</v>
      </c>
      <c r="C479" s="2">
        <v>12000</v>
      </c>
      <c r="D479" s="2">
        <v>12000</v>
      </c>
      <c r="E479" s="2">
        <v>12000</v>
      </c>
      <c r="F479" s="2">
        <v>168000</v>
      </c>
      <c r="I479" s="1"/>
    </row>
    <row r="480" spans="1:9" hidden="1">
      <c r="A480" s="2">
        <v>12000</v>
      </c>
      <c r="B480" s="1" t="s">
        <v>45</v>
      </c>
      <c r="C480" s="2">
        <v>1165.52</v>
      </c>
      <c r="D480" s="2">
        <v>2048.4</v>
      </c>
      <c r="E480" s="2">
        <v>153.63</v>
      </c>
      <c r="F480" s="2">
        <v>16188.269999999999</v>
      </c>
      <c r="I480" s="1"/>
    </row>
    <row r="481" spans="1:9" hidden="1">
      <c r="A481" s="2">
        <v>12000</v>
      </c>
      <c r="B481" s="1" t="s">
        <v>46</v>
      </c>
      <c r="C481" s="2">
        <v>4037.69</v>
      </c>
      <c r="D481" s="2">
        <v>559.9</v>
      </c>
      <c r="E481" s="2">
        <v>710.77760000000023</v>
      </c>
      <c r="F481" s="2">
        <v>49722.957600000002</v>
      </c>
      <c r="I481" s="1"/>
    </row>
    <row r="482" spans="1:9" hidden="1">
      <c r="A482" s="2">
        <v>12000</v>
      </c>
      <c r="B482" s="1" t="s">
        <v>40</v>
      </c>
      <c r="C482" s="2">
        <v>6796.79</v>
      </c>
      <c r="D482" s="2">
        <v>9391.7000000000007</v>
      </c>
      <c r="E482" s="2">
        <v>11135.59</v>
      </c>
      <c r="F482" s="2">
        <v>102088.76999999999</v>
      </c>
      <c r="I482" s="1"/>
    </row>
    <row r="483" spans="1:9" hidden="1">
      <c r="A483" s="2">
        <v>12100</v>
      </c>
      <c r="B483" s="1" t="s">
        <v>39</v>
      </c>
      <c r="C483" s="2">
        <v>12100</v>
      </c>
      <c r="D483" s="2">
        <v>12100</v>
      </c>
      <c r="E483" s="2">
        <v>12100</v>
      </c>
      <c r="F483" s="2">
        <v>169400</v>
      </c>
      <c r="I483" s="1"/>
    </row>
    <row r="484" spans="1:9" hidden="1">
      <c r="A484" s="2">
        <v>12100</v>
      </c>
      <c r="B484" s="1" t="s">
        <v>45</v>
      </c>
      <c r="C484" s="2">
        <v>1165.52</v>
      </c>
      <c r="D484" s="2">
        <v>2065.4699999999998</v>
      </c>
      <c r="E484" s="2">
        <v>136.56</v>
      </c>
      <c r="F484" s="2">
        <v>16188.269999999999</v>
      </c>
      <c r="I484" s="1"/>
    </row>
    <row r="485" spans="1:9" hidden="1">
      <c r="A485" s="2">
        <v>12100</v>
      </c>
      <c r="B485" s="1" t="s">
        <v>46</v>
      </c>
      <c r="C485" s="2">
        <v>4087.69</v>
      </c>
      <c r="D485" s="2">
        <v>564.87</v>
      </c>
      <c r="E485" s="2">
        <v>717.80760000000021</v>
      </c>
      <c r="F485" s="2">
        <v>50334.957600000002</v>
      </c>
      <c r="I485" s="1"/>
    </row>
    <row r="486" spans="1:9" hidden="1">
      <c r="A486" s="2">
        <v>12100</v>
      </c>
      <c r="B486" s="1" t="s">
        <v>40</v>
      </c>
      <c r="C486" s="2">
        <v>6846.79</v>
      </c>
      <c r="D486" s="2">
        <v>9469.66</v>
      </c>
      <c r="E486" s="2">
        <v>11245.63</v>
      </c>
      <c r="F486" s="2">
        <v>102876.77</v>
      </c>
      <c r="I486" s="1"/>
    </row>
    <row r="487" spans="1:9" hidden="1">
      <c r="A487" s="2">
        <v>12200</v>
      </c>
      <c r="B487" s="1" t="s">
        <v>39</v>
      </c>
      <c r="C487" s="2">
        <v>12200</v>
      </c>
      <c r="D487" s="2">
        <v>12200</v>
      </c>
      <c r="E487" s="2">
        <v>12200</v>
      </c>
      <c r="F487" s="2">
        <v>170800</v>
      </c>
      <c r="I487" s="1"/>
    </row>
    <row r="488" spans="1:9" hidden="1">
      <c r="A488" s="2">
        <v>12200</v>
      </c>
      <c r="B488" s="1" t="s">
        <v>45</v>
      </c>
      <c r="C488" s="2">
        <v>1165.52</v>
      </c>
      <c r="D488" s="2">
        <v>2082.54</v>
      </c>
      <c r="E488" s="2">
        <v>119.49</v>
      </c>
      <c r="F488" s="2">
        <v>16188.269999999999</v>
      </c>
      <c r="I488" s="1"/>
    </row>
    <row r="489" spans="1:9" hidden="1">
      <c r="A489" s="2">
        <v>12200</v>
      </c>
      <c r="B489" s="1" t="s">
        <v>46</v>
      </c>
      <c r="C489" s="2">
        <v>4137.6899999999996</v>
      </c>
      <c r="D489" s="2">
        <v>569.85</v>
      </c>
      <c r="E489" s="2">
        <v>724.82760000000019</v>
      </c>
      <c r="F489" s="2">
        <v>50946.957599999994</v>
      </c>
      <c r="I489" s="1"/>
    </row>
    <row r="490" spans="1:9" hidden="1">
      <c r="A490" s="2">
        <v>12200</v>
      </c>
      <c r="B490" s="1" t="s">
        <v>40</v>
      </c>
      <c r="C490" s="2">
        <v>6896.79</v>
      </c>
      <c r="D490" s="2">
        <v>9547.6099999999988</v>
      </c>
      <c r="E490" s="2">
        <v>11355.68</v>
      </c>
      <c r="F490" s="2">
        <v>103664.76999999999</v>
      </c>
      <c r="I490" s="1"/>
    </row>
    <row r="491" spans="1:9">
      <c r="A491" s="2">
        <v>12300</v>
      </c>
      <c r="B491" s="1" t="s">
        <v>39</v>
      </c>
      <c r="C491" s="2">
        <v>12300</v>
      </c>
      <c r="D491" s="2">
        <v>12300</v>
      </c>
      <c r="E491" s="2">
        <v>12300</v>
      </c>
      <c r="F491" s="2">
        <v>172200</v>
      </c>
      <c r="I491" s="1"/>
    </row>
    <row r="492" spans="1:9">
      <c r="A492" s="2">
        <v>12300</v>
      </c>
      <c r="B492" s="1" t="s">
        <v>45</v>
      </c>
      <c r="C492" s="2">
        <v>1165.52</v>
      </c>
      <c r="D492" s="2">
        <v>2099.6099999999997</v>
      </c>
      <c r="E492" s="2">
        <v>102.41999999999999</v>
      </c>
      <c r="F492" s="2">
        <v>16188.269999999999</v>
      </c>
      <c r="I492" s="1"/>
    </row>
    <row r="493" spans="1:9">
      <c r="A493" s="2">
        <v>12300</v>
      </c>
      <c r="B493" s="1" t="s">
        <v>46</v>
      </c>
      <c r="C493" s="2">
        <v>4187.6899999999996</v>
      </c>
      <c r="D493" s="2">
        <v>574.82000000000005</v>
      </c>
      <c r="E493" s="2">
        <v>731.85760000000016</v>
      </c>
      <c r="F493" s="2">
        <v>51558.957600000002</v>
      </c>
      <c r="I493" s="1"/>
    </row>
    <row r="494" spans="1:9">
      <c r="A494" s="2">
        <v>12300</v>
      </c>
      <c r="B494" s="1" t="s">
        <v>40</v>
      </c>
      <c r="C494" s="2">
        <v>6946.79</v>
      </c>
      <c r="D494" s="2">
        <v>9625.57</v>
      </c>
      <c r="E494" s="2">
        <v>11465.72</v>
      </c>
      <c r="F494" s="2">
        <v>104452.76999999999</v>
      </c>
      <c r="I494" s="1"/>
    </row>
    <row r="495" spans="1:9" hidden="1">
      <c r="A495" s="2">
        <v>12400</v>
      </c>
      <c r="B495" s="1" t="s">
        <v>39</v>
      </c>
      <c r="C495" s="2">
        <v>12400</v>
      </c>
      <c r="D495" s="2">
        <v>12400</v>
      </c>
      <c r="E495" s="2">
        <v>12400</v>
      </c>
      <c r="F495" s="2">
        <v>173600</v>
      </c>
      <c r="I495" s="1"/>
    </row>
    <row r="496" spans="1:9" hidden="1">
      <c r="A496" s="2">
        <v>12400</v>
      </c>
      <c r="B496" s="1" t="s">
        <v>45</v>
      </c>
      <c r="C496" s="2">
        <v>1165.52</v>
      </c>
      <c r="D496" s="2">
        <v>2116.6799999999998</v>
      </c>
      <c r="E496" s="2">
        <v>85.35</v>
      </c>
      <c r="F496" s="2">
        <v>16188.27</v>
      </c>
      <c r="I496" s="1"/>
    </row>
    <row r="497" spans="1:9" hidden="1">
      <c r="A497" s="2">
        <v>12400</v>
      </c>
      <c r="B497" s="1" t="s">
        <v>46</v>
      </c>
      <c r="C497" s="2">
        <v>4237.6899999999996</v>
      </c>
      <c r="D497" s="2">
        <v>579.79999999999995</v>
      </c>
      <c r="E497" s="2">
        <v>738.87760000000026</v>
      </c>
      <c r="F497" s="2">
        <v>52170.957600000002</v>
      </c>
      <c r="I497" s="1"/>
    </row>
    <row r="498" spans="1:9" hidden="1">
      <c r="A498" s="2">
        <v>12400</v>
      </c>
      <c r="B498" s="1" t="s">
        <v>40</v>
      </c>
      <c r="C498" s="2">
        <v>6996.79</v>
      </c>
      <c r="D498" s="2">
        <v>9703.52</v>
      </c>
      <c r="E498" s="2">
        <v>11575.77</v>
      </c>
      <c r="F498" s="2">
        <v>105240.77</v>
      </c>
      <c r="I498" s="1"/>
    </row>
    <row r="499" spans="1:9" hidden="1">
      <c r="A499" s="2">
        <v>12500</v>
      </c>
      <c r="B499" s="1" t="s">
        <v>39</v>
      </c>
      <c r="C499" s="2">
        <v>12500</v>
      </c>
      <c r="D499" s="2">
        <v>12500</v>
      </c>
      <c r="E499" s="2">
        <v>12500</v>
      </c>
      <c r="F499" s="2">
        <v>175000</v>
      </c>
      <c r="I499" s="1"/>
    </row>
    <row r="500" spans="1:9" hidden="1">
      <c r="A500" s="2">
        <v>12500</v>
      </c>
      <c r="B500" s="1" t="s">
        <v>45</v>
      </c>
      <c r="C500" s="2">
        <v>1165.52</v>
      </c>
      <c r="D500" s="2">
        <v>2133.75</v>
      </c>
      <c r="E500" s="2">
        <v>68.28</v>
      </c>
      <c r="F500" s="2">
        <v>16188.27</v>
      </c>
      <c r="I500" s="1"/>
    </row>
    <row r="501" spans="1:9" hidden="1">
      <c r="A501" s="2">
        <v>12500</v>
      </c>
      <c r="B501" s="1" t="s">
        <v>46</v>
      </c>
      <c r="C501" s="2">
        <v>4287.6899999999996</v>
      </c>
      <c r="D501" s="2">
        <v>584.77</v>
      </c>
      <c r="E501" s="2">
        <v>745.90760000000023</v>
      </c>
      <c r="F501" s="2">
        <v>52782.957599999994</v>
      </c>
      <c r="I501" s="1"/>
    </row>
    <row r="502" spans="1:9" hidden="1">
      <c r="A502" s="2">
        <v>12500</v>
      </c>
      <c r="B502" s="1" t="s">
        <v>40</v>
      </c>
      <c r="C502" s="2">
        <v>7046.79</v>
      </c>
      <c r="D502" s="2">
        <v>9781.48</v>
      </c>
      <c r="E502" s="2">
        <v>11685.81</v>
      </c>
      <c r="F502" s="2">
        <v>106028.76999999999</v>
      </c>
      <c r="I502" s="1"/>
    </row>
    <row r="503" spans="1:9" hidden="1">
      <c r="A503" s="2">
        <v>12600</v>
      </c>
      <c r="B503" s="1" t="s">
        <v>39</v>
      </c>
      <c r="C503" s="2">
        <v>12600</v>
      </c>
      <c r="D503" s="2">
        <v>12600</v>
      </c>
      <c r="E503" s="2">
        <v>12600</v>
      </c>
      <c r="F503" s="2">
        <v>176400</v>
      </c>
      <c r="I503" s="1"/>
    </row>
    <row r="504" spans="1:9" hidden="1">
      <c r="A504" s="2">
        <v>12600</v>
      </c>
      <c r="B504" s="1" t="s">
        <v>45</v>
      </c>
      <c r="C504" s="2">
        <v>1165.52</v>
      </c>
      <c r="D504" s="2">
        <v>2150.8199999999997</v>
      </c>
      <c r="E504" s="2">
        <v>51.209999999999994</v>
      </c>
      <c r="F504" s="2">
        <v>16188.269999999999</v>
      </c>
      <c r="I504" s="1"/>
    </row>
    <row r="505" spans="1:9" hidden="1">
      <c r="A505" s="2">
        <v>12600</v>
      </c>
      <c r="B505" s="1" t="s">
        <v>46</v>
      </c>
      <c r="C505" s="2">
        <v>4337.6899999999996</v>
      </c>
      <c r="D505" s="2">
        <v>589.75</v>
      </c>
      <c r="E505" s="2">
        <v>752.92760000000021</v>
      </c>
      <c r="F505" s="2">
        <v>53394.957600000002</v>
      </c>
      <c r="I505" s="1"/>
    </row>
    <row r="506" spans="1:9" hidden="1">
      <c r="A506" s="2">
        <v>12600</v>
      </c>
      <c r="B506" s="1" t="s">
        <v>40</v>
      </c>
      <c r="C506" s="2">
        <v>7096.79</v>
      </c>
      <c r="D506" s="2">
        <v>9859.43</v>
      </c>
      <c r="E506" s="2">
        <v>11795.86</v>
      </c>
      <c r="F506" s="2">
        <v>106816.77</v>
      </c>
      <c r="I506" s="1"/>
    </row>
    <row r="507" spans="1:9" hidden="1">
      <c r="A507" s="2">
        <v>12700</v>
      </c>
      <c r="B507" s="1" t="s">
        <v>39</v>
      </c>
      <c r="C507" s="2">
        <v>12700</v>
      </c>
      <c r="D507" s="2">
        <v>12700</v>
      </c>
      <c r="E507" s="2">
        <v>12700</v>
      </c>
      <c r="F507" s="2">
        <v>177800</v>
      </c>
      <c r="I507" s="1"/>
    </row>
    <row r="508" spans="1:9" hidden="1">
      <c r="A508" s="2">
        <v>12700</v>
      </c>
      <c r="B508" s="1" t="s">
        <v>45</v>
      </c>
      <c r="C508" s="2">
        <v>1165.52</v>
      </c>
      <c r="D508" s="2">
        <v>2167.89</v>
      </c>
      <c r="E508" s="2">
        <v>34.14</v>
      </c>
      <c r="F508" s="2">
        <v>16188.269999999999</v>
      </c>
      <c r="I508" s="1"/>
    </row>
    <row r="509" spans="1:9" hidden="1">
      <c r="A509" s="2">
        <v>12700</v>
      </c>
      <c r="B509" s="1" t="s">
        <v>46</v>
      </c>
      <c r="C509" s="2">
        <v>4387.6899999999996</v>
      </c>
      <c r="D509" s="2">
        <v>594.73</v>
      </c>
      <c r="E509" s="2">
        <v>759.94760000000019</v>
      </c>
      <c r="F509" s="2">
        <v>54006.957600000002</v>
      </c>
      <c r="I509" s="1"/>
    </row>
    <row r="510" spans="1:9" hidden="1">
      <c r="A510" s="2">
        <v>12700</v>
      </c>
      <c r="B510" s="1" t="s">
        <v>40</v>
      </c>
      <c r="C510" s="2">
        <v>7146.79</v>
      </c>
      <c r="D510" s="2">
        <v>9937.380000000001</v>
      </c>
      <c r="E510" s="2">
        <v>11905.91</v>
      </c>
      <c r="F510" s="2">
        <v>107604.77</v>
      </c>
      <c r="I510" s="1"/>
    </row>
    <row r="511" spans="1:9" hidden="1">
      <c r="A511" s="2">
        <v>12800</v>
      </c>
      <c r="B511" s="1" t="s">
        <v>39</v>
      </c>
      <c r="C511" s="2">
        <v>12800</v>
      </c>
      <c r="D511" s="2">
        <v>12800</v>
      </c>
      <c r="E511" s="2">
        <v>12800</v>
      </c>
      <c r="F511" s="2">
        <v>179200</v>
      </c>
      <c r="I511" s="1"/>
    </row>
    <row r="512" spans="1:9" hidden="1">
      <c r="A512" s="2">
        <v>12800</v>
      </c>
      <c r="B512" s="1" t="s">
        <v>45</v>
      </c>
      <c r="C512" s="2">
        <v>1165.52</v>
      </c>
      <c r="D512" s="2">
        <v>2184.96</v>
      </c>
      <c r="E512" s="2">
        <v>17.07</v>
      </c>
      <c r="F512" s="2">
        <v>16188.27</v>
      </c>
      <c r="I512" s="1"/>
    </row>
    <row r="513" spans="1:9" hidden="1">
      <c r="A513" s="2">
        <v>12800</v>
      </c>
      <c r="B513" s="1" t="s">
        <v>46</v>
      </c>
      <c r="C513" s="2">
        <v>4437.6899999999996</v>
      </c>
      <c r="D513" s="2">
        <v>599.70000000000005</v>
      </c>
      <c r="E513" s="2">
        <v>766.97760000000017</v>
      </c>
      <c r="F513" s="2">
        <v>54618.957599999994</v>
      </c>
      <c r="I513" s="1"/>
    </row>
    <row r="514" spans="1:9" hidden="1">
      <c r="A514" s="2">
        <v>12800</v>
      </c>
      <c r="B514" s="1" t="s">
        <v>40</v>
      </c>
      <c r="C514" s="2">
        <v>7196.79</v>
      </c>
      <c r="D514" s="2">
        <v>10015.34</v>
      </c>
      <c r="E514" s="2">
        <v>12015.95</v>
      </c>
      <c r="F514" s="2">
        <v>108392.76999999999</v>
      </c>
      <c r="I514" s="1"/>
    </row>
    <row r="515" spans="1:9" hidden="1">
      <c r="A515" s="2">
        <v>12900</v>
      </c>
      <c r="B515" s="1" t="s">
        <v>39</v>
      </c>
      <c r="C515" s="2">
        <v>12900</v>
      </c>
      <c r="D515" s="2">
        <v>12900</v>
      </c>
      <c r="E515" s="2">
        <v>12900</v>
      </c>
      <c r="F515" s="2">
        <v>180600</v>
      </c>
      <c r="I515" s="1"/>
    </row>
    <row r="516" spans="1:9" hidden="1">
      <c r="A516" s="2">
        <v>12900</v>
      </c>
      <c r="B516" s="1" t="s">
        <v>45</v>
      </c>
      <c r="C516" s="2">
        <v>1165.52</v>
      </c>
      <c r="D516" s="2">
        <v>2202.0299999999997</v>
      </c>
      <c r="E516" s="2">
        <v>0</v>
      </c>
      <c r="F516" s="2">
        <v>16188.27</v>
      </c>
      <c r="I516" s="1"/>
    </row>
    <row r="517" spans="1:9" hidden="1">
      <c r="A517" s="2">
        <v>12900</v>
      </c>
      <c r="B517" s="1" t="s">
        <v>46</v>
      </c>
      <c r="C517" s="2">
        <v>4487.6899999999996</v>
      </c>
      <c r="D517" s="2">
        <v>604.67999999999995</v>
      </c>
      <c r="E517" s="2">
        <v>773.99760000000026</v>
      </c>
      <c r="F517" s="2">
        <v>55230.957600000002</v>
      </c>
      <c r="I517" s="1"/>
    </row>
    <row r="518" spans="1:9" hidden="1">
      <c r="A518" s="2">
        <v>12900</v>
      </c>
      <c r="B518" s="1" t="s">
        <v>40</v>
      </c>
      <c r="C518" s="2">
        <v>7246.79</v>
      </c>
      <c r="D518" s="2">
        <v>10093.290000000001</v>
      </c>
      <c r="E518" s="2">
        <v>12126</v>
      </c>
      <c r="F518" s="2">
        <v>109180.76999999999</v>
      </c>
      <c r="I518" s="1"/>
    </row>
    <row r="519" spans="1:9" hidden="1">
      <c r="A519" s="2">
        <v>13000</v>
      </c>
      <c r="B519" s="1" t="s">
        <v>39</v>
      </c>
      <c r="C519" s="2">
        <v>13000</v>
      </c>
      <c r="D519" s="2">
        <v>13000</v>
      </c>
      <c r="E519" s="2">
        <v>13000</v>
      </c>
      <c r="F519" s="2">
        <v>182000</v>
      </c>
      <c r="I519" s="1"/>
    </row>
    <row r="520" spans="1:9" hidden="1">
      <c r="A520" s="2">
        <v>13000</v>
      </c>
      <c r="B520" s="1" t="s">
        <v>45</v>
      </c>
      <c r="C520" s="2">
        <v>1165.52</v>
      </c>
      <c r="D520" s="2">
        <v>2202.0299999999997</v>
      </c>
      <c r="E520" s="2">
        <v>0</v>
      </c>
      <c r="F520" s="2">
        <v>16188.27</v>
      </c>
      <c r="I520" s="1"/>
    </row>
    <row r="521" spans="1:9" hidden="1">
      <c r="A521" s="2">
        <v>13000</v>
      </c>
      <c r="B521" s="1" t="s">
        <v>46</v>
      </c>
      <c r="C521" s="2">
        <v>4537.6899999999996</v>
      </c>
      <c r="D521" s="2">
        <v>610.67999999999995</v>
      </c>
      <c r="E521" s="2">
        <v>779.99760000000026</v>
      </c>
      <c r="F521" s="2">
        <v>55842.957600000002</v>
      </c>
      <c r="I521" s="1"/>
    </row>
    <row r="522" spans="1:9" hidden="1">
      <c r="A522" s="2">
        <v>13000</v>
      </c>
      <c r="B522" s="1" t="s">
        <v>40</v>
      </c>
      <c r="C522" s="2">
        <v>7296.79</v>
      </c>
      <c r="D522" s="2">
        <v>10187.290000000001</v>
      </c>
      <c r="E522" s="2">
        <v>12220</v>
      </c>
      <c r="F522" s="2">
        <v>109968.76999999999</v>
      </c>
      <c r="I522" s="1"/>
    </row>
    <row r="523" spans="1:9" hidden="1">
      <c r="A523" s="2">
        <v>13100</v>
      </c>
      <c r="B523" s="1" t="s">
        <v>39</v>
      </c>
      <c r="C523" s="2">
        <v>13100</v>
      </c>
      <c r="D523" s="2">
        <v>13100</v>
      </c>
      <c r="E523" s="2">
        <v>13100</v>
      </c>
      <c r="F523" s="2">
        <v>183400</v>
      </c>
      <c r="I523" s="1"/>
    </row>
    <row r="524" spans="1:9" hidden="1">
      <c r="A524" s="2">
        <v>13100</v>
      </c>
      <c r="B524" s="1" t="s">
        <v>45</v>
      </c>
      <c r="C524" s="2">
        <v>1165.52</v>
      </c>
      <c r="D524" s="2">
        <v>2202.0299999999997</v>
      </c>
      <c r="E524" s="2">
        <v>0</v>
      </c>
      <c r="F524" s="2">
        <v>16188.27</v>
      </c>
      <c r="I524" s="1"/>
    </row>
    <row r="525" spans="1:9" hidden="1">
      <c r="A525" s="2">
        <v>13100</v>
      </c>
      <c r="B525" s="1" t="s">
        <v>46</v>
      </c>
      <c r="C525" s="2">
        <v>4587.6899999999996</v>
      </c>
      <c r="D525" s="2">
        <v>616.67999999999995</v>
      </c>
      <c r="E525" s="2">
        <v>785.99760000000026</v>
      </c>
      <c r="F525" s="2">
        <v>56454.957600000002</v>
      </c>
      <c r="I525" s="1"/>
    </row>
    <row r="526" spans="1:9" hidden="1">
      <c r="A526" s="2">
        <v>13100</v>
      </c>
      <c r="B526" s="1" t="s">
        <v>40</v>
      </c>
      <c r="C526" s="2">
        <v>7346.79</v>
      </c>
      <c r="D526" s="2">
        <v>10281.290000000001</v>
      </c>
      <c r="E526" s="2">
        <v>12314</v>
      </c>
      <c r="F526" s="2">
        <v>110756.76999999999</v>
      </c>
      <c r="I526" s="1"/>
    </row>
    <row r="527" spans="1:9" hidden="1">
      <c r="A527" s="2">
        <v>13200</v>
      </c>
      <c r="B527" s="1" t="s">
        <v>39</v>
      </c>
      <c r="C527" s="2">
        <v>13200</v>
      </c>
      <c r="D527" s="2">
        <v>13200</v>
      </c>
      <c r="E527" s="2">
        <v>13200</v>
      </c>
      <c r="F527" s="2">
        <v>184800</v>
      </c>
      <c r="I527" s="1"/>
    </row>
    <row r="528" spans="1:9" hidden="1">
      <c r="A528" s="2">
        <v>13200</v>
      </c>
      <c r="B528" s="1" t="s">
        <v>45</v>
      </c>
      <c r="C528" s="2">
        <v>1165.52</v>
      </c>
      <c r="D528" s="2">
        <v>2202.0299999999997</v>
      </c>
      <c r="E528" s="2">
        <v>0</v>
      </c>
      <c r="F528" s="2">
        <v>16188.27</v>
      </c>
      <c r="I528" s="1"/>
    </row>
    <row r="529" spans="1:9" hidden="1">
      <c r="A529" s="2">
        <v>13200</v>
      </c>
      <c r="B529" s="1" t="s">
        <v>46</v>
      </c>
      <c r="C529" s="2">
        <v>4637.6899999999996</v>
      </c>
      <c r="D529" s="2">
        <v>622.67999999999995</v>
      </c>
      <c r="E529" s="2">
        <v>791.99760000000026</v>
      </c>
      <c r="F529" s="2">
        <v>57066.957600000002</v>
      </c>
      <c r="I529" s="1"/>
    </row>
    <row r="530" spans="1:9" hidden="1">
      <c r="A530" s="2">
        <v>13200</v>
      </c>
      <c r="B530" s="1" t="s">
        <v>40</v>
      </c>
      <c r="C530" s="2">
        <v>7396.79</v>
      </c>
      <c r="D530" s="2">
        <v>10375.290000000001</v>
      </c>
      <c r="E530" s="2">
        <v>12408</v>
      </c>
      <c r="F530" s="2">
        <v>111544.76999999999</v>
      </c>
      <c r="I530" s="1"/>
    </row>
    <row r="531" spans="1:9" hidden="1">
      <c r="A531" s="2">
        <v>13300</v>
      </c>
      <c r="B531" s="1" t="s">
        <v>39</v>
      </c>
      <c r="C531" s="2">
        <v>13300</v>
      </c>
      <c r="D531" s="2">
        <v>13300</v>
      </c>
      <c r="E531" s="2">
        <v>13300</v>
      </c>
      <c r="F531" s="2">
        <v>186200</v>
      </c>
      <c r="I531" s="1"/>
    </row>
    <row r="532" spans="1:9" hidden="1">
      <c r="A532" s="2">
        <v>13300</v>
      </c>
      <c r="B532" s="1" t="s">
        <v>45</v>
      </c>
      <c r="C532" s="2">
        <v>1165.52</v>
      </c>
      <c r="D532" s="2">
        <v>2202.0299999999997</v>
      </c>
      <c r="E532" s="2">
        <v>0</v>
      </c>
      <c r="F532" s="2">
        <v>16188.27</v>
      </c>
      <c r="I532" s="1"/>
    </row>
    <row r="533" spans="1:9" hidden="1">
      <c r="A533" s="2">
        <v>13300</v>
      </c>
      <c r="B533" s="1" t="s">
        <v>46</v>
      </c>
      <c r="C533" s="2">
        <v>4687.6899999999996</v>
      </c>
      <c r="D533" s="2">
        <v>628.67999999999995</v>
      </c>
      <c r="E533" s="2">
        <v>797.99760000000026</v>
      </c>
      <c r="F533" s="2">
        <v>57678.957600000002</v>
      </c>
      <c r="I533" s="1"/>
    </row>
    <row r="534" spans="1:9" hidden="1">
      <c r="A534" s="2">
        <v>13300</v>
      </c>
      <c r="B534" s="1" t="s">
        <v>40</v>
      </c>
      <c r="C534" s="2">
        <v>7446.79</v>
      </c>
      <c r="D534" s="2">
        <v>10469.290000000001</v>
      </c>
      <c r="E534" s="2">
        <v>12502</v>
      </c>
      <c r="F534" s="2">
        <v>112332.76999999999</v>
      </c>
      <c r="I534" s="1"/>
    </row>
    <row r="535" spans="1:9" hidden="1">
      <c r="A535" s="2">
        <v>13400</v>
      </c>
      <c r="B535" s="1" t="s">
        <v>39</v>
      </c>
      <c r="C535" s="2">
        <v>13400</v>
      </c>
      <c r="D535" s="2">
        <v>13400</v>
      </c>
      <c r="E535" s="2">
        <v>13400</v>
      </c>
      <c r="F535" s="2">
        <v>187600</v>
      </c>
      <c r="I535" s="1"/>
    </row>
    <row r="536" spans="1:9" hidden="1">
      <c r="A536" s="2">
        <v>13400</v>
      </c>
      <c r="B536" s="1" t="s">
        <v>45</v>
      </c>
      <c r="C536" s="2">
        <v>1165.52</v>
      </c>
      <c r="D536" s="2">
        <v>2202.0299999999997</v>
      </c>
      <c r="E536" s="2">
        <v>0</v>
      </c>
      <c r="F536" s="2">
        <v>16188.27</v>
      </c>
      <c r="I536" s="1"/>
    </row>
    <row r="537" spans="1:9" hidden="1">
      <c r="A537" s="2">
        <v>13400</v>
      </c>
      <c r="B537" s="1" t="s">
        <v>46</v>
      </c>
      <c r="C537" s="2">
        <v>4737.6899999999996</v>
      </c>
      <c r="D537" s="2">
        <v>634.67999999999995</v>
      </c>
      <c r="E537" s="2">
        <v>803.99760000000026</v>
      </c>
      <c r="F537" s="2">
        <v>58290.957600000002</v>
      </c>
      <c r="I537" s="1"/>
    </row>
    <row r="538" spans="1:9" hidden="1">
      <c r="A538" s="2">
        <v>13400</v>
      </c>
      <c r="B538" s="1" t="s">
        <v>40</v>
      </c>
      <c r="C538" s="2">
        <v>7496.79</v>
      </c>
      <c r="D538" s="2">
        <v>10563.29</v>
      </c>
      <c r="E538" s="2">
        <v>12596</v>
      </c>
      <c r="F538" s="2">
        <v>113120.76999999999</v>
      </c>
      <c r="I538" s="1"/>
    </row>
    <row r="539" spans="1:9" hidden="1">
      <c r="A539" s="2">
        <v>13500</v>
      </c>
      <c r="B539" s="1" t="s">
        <v>39</v>
      </c>
      <c r="C539" s="2">
        <v>13500</v>
      </c>
      <c r="D539" s="2">
        <v>13500</v>
      </c>
      <c r="E539" s="2">
        <v>13500</v>
      </c>
      <c r="F539" s="2">
        <v>189000</v>
      </c>
      <c r="I539" s="1"/>
    </row>
    <row r="540" spans="1:9" hidden="1">
      <c r="A540" s="2">
        <v>13500</v>
      </c>
      <c r="B540" s="1" t="s">
        <v>45</v>
      </c>
      <c r="C540" s="2">
        <v>1165.52</v>
      </c>
      <c r="D540" s="2">
        <v>2202.0299999999997</v>
      </c>
      <c r="E540" s="2">
        <v>0</v>
      </c>
      <c r="F540" s="2">
        <v>16188.27</v>
      </c>
      <c r="I540" s="1"/>
    </row>
    <row r="541" spans="1:9" hidden="1">
      <c r="A541" s="2">
        <v>13500</v>
      </c>
      <c r="B541" s="1" t="s">
        <v>46</v>
      </c>
      <c r="C541" s="2">
        <v>4787.6899999999996</v>
      </c>
      <c r="D541" s="2">
        <v>640.67999999999995</v>
      </c>
      <c r="E541" s="2">
        <v>809.99760000000026</v>
      </c>
      <c r="F541" s="2">
        <v>58902.957600000002</v>
      </c>
      <c r="I541" s="1"/>
    </row>
    <row r="542" spans="1:9" hidden="1">
      <c r="A542" s="2">
        <v>13500</v>
      </c>
      <c r="B542" s="1" t="s">
        <v>40</v>
      </c>
      <c r="C542" s="2">
        <v>7546.79</v>
      </c>
      <c r="D542" s="2">
        <v>10657.29</v>
      </c>
      <c r="E542" s="2">
        <v>12690</v>
      </c>
      <c r="F542" s="2">
        <v>113908.76999999999</v>
      </c>
      <c r="I542" s="1"/>
    </row>
    <row r="543" spans="1:9" hidden="1">
      <c r="A543" s="2">
        <v>13600</v>
      </c>
      <c r="B543" s="1" t="s">
        <v>39</v>
      </c>
      <c r="C543" s="2">
        <v>13600</v>
      </c>
      <c r="D543" s="2">
        <v>13600</v>
      </c>
      <c r="E543" s="2">
        <v>13600</v>
      </c>
      <c r="F543" s="2">
        <v>190400</v>
      </c>
      <c r="I543" s="1"/>
    </row>
    <row r="544" spans="1:9" hidden="1">
      <c r="A544" s="2">
        <v>13600</v>
      </c>
      <c r="B544" s="1" t="s">
        <v>45</v>
      </c>
      <c r="C544" s="2">
        <v>1165.52</v>
      </c>
      <c r="D544" s="2">
        <v>2202.0299999999997</v>
      </c>
      <c r="E544" s="2">
        <v>0</v>
      </c>
      <c r="F544" s="2">
        <v>16188.27</v>
      </c>
      <c r="I544" s="1"/>
    </row>
    <row r="545" spans="1:9" hidden="1">
      <c r="A545" s="2">
        <v>13600</v>
      </c>
      <c r="B545" s="1" t="s">
        <v>46</v>
      </c>
      <c r="C545" s="2">
        <v>4837.6899999999996</v>
      </c>
      <c r="D545" s="2">
        <v>646.67999999999995</v>
      </c>
      <c r="E545" s="2">
        <v>815.99760000000026</v>
      </c>
      <c r="F545" s="2">
        <v>59514.957600000002</v>
      </c>
      <c r="I545" s="1"/>
    </row>
    <row r="546" spans="1:9" hidden="1">
      <c r="A546" s="2">
        <v>13600</v>
      </c>
      <c r="B546" s="1" t="s">
        <v>40</v>
      </c>
      <c r="C546" s="2">
        <v>7596.79</v>
      </c>
      <c r="D546" s="2">
        <v>10751.29</v>
      </c>
      <c r="E546" s="2">
        <v>12784</v>
      </c>
      <c r="F546" s="2">
        <v>114696.76999999999</v>
      </c>
      <c r="I546" s="1"/>
    </row>
    <row r="547" spans="1:9" hidden="1">
      <c r="A547" s="2">
        <v>13700</v>
      </c>
      <c r="B547" s="1" t="s">
        <v>39</v>
      </c>
      <c r="C547" s="2">
        <v>13700</v>
      </c>
      <c r="D547" s="2">
        <v>13700</v>
      </c>
      <c r="E547" s="2">
        <v>13700</v>
      </c>
      <c r="F547" s="2">
        <v>191800</v>
      </c>
      <c r="I547" s="1"/>
    </row>
    <row r="548" spans="1:9" hidden="1">
      <c r="A548" s="2">
        <v>13700</v>
      </c>
      <c r="B548" s="1" t="s">
        <v>45</v>
      </c>
      <c r="C548" s="2">
        <v>1165.52</v>
      </c>
      <c r="D548" s="2">
        <v>2202.0299999999997</v>
      </c>
      <c r="E548" s="2">
        <v>0</v>
      </c>
      <c r="F548" s="2">
        <v>16188.27</v>
      </c>
      <c r="I548" s="1"/>
    </row>
    <row r="549" spans="1:9" hidden="1">
      <c r="A549" s="2">
        <v>13700</v>
      </c>
      <c r="B549" s="1" t="s">
        <v>46</v>
      </c>
      <c r="C549" s="2">
        <v>4887.6899999999996</v>
      </c>
      <c r="D549" s="2">
        <v>652.67999999999995</v>
      </c>
      <c r="E549" s="2">
        <v>863.56920000000071</v>
      </c>
      <c r="F549" s="2">
        <v>60168.529199999997</v>
      </c>
      <c r="I549" s="1"/>
    </row>
    <row r="550" spans="1:9" hidden="1">
      <c r="A550" s="2">
        <v>13700</v>
      </c>
      <c r="B550" s="1" t="s">
        <v>40</v>
      </c>
      <c r="C550" s="2">
        <v>7646.79</v>
      </c>
      <c r="D550" s="2">
        <v>10845.29</v>
      </c>
      <c r="E550" s="2">
        <v>12836.43</v>
      </c>
      <c r="F550" s="2">
        <v>115443.19999999998</v>
      </c>
      <c r="I550" s="1"/>
    </row>
    <row r="551" spans="1:9" hidden="1">
      <c r="A551" s="2">
        <v>13800</v>
      </c>
      <c r="B551" s="1" t="s">
        <v>39</v>
      </c>
      <c r="C551" s="2">
        <v>13800</v>
      </c>
      <c r="D551" s="2">
        <v>13800</v>
      </c>
      <c r="E551" s="2">
        <v>13800</v>
      </c>
      <c r="F551" s="2">
        <v>193200</v>
      </c>
      <c r="I551" s="1"/>
    </row>
    <row r="552" spans="1:9" hidden="1">
      <c r="A552" s="2">
        <v>13800</v>
      </c>
      <c r="B552" s="1" t="s">
        <v>45</v>
      </c>
      <c r="C552" s="2">
        <v>1165.52</v>
      </c>
      <c r="D552" s="2">
        <v>2202.0299999999997</v>
      </c>
      <c r="E552" s="2">
        <v>0</v>
      </c>
      <c r="F552" s="2">
        <v>16188.27</v>
      </c>
      <c r="I552" s="1"/>
    </row>
    <row r="553" spans="1:9" hidden="1">
      <c r="A553" s="2">
        <v>13800</v>
      </c>
      <c r="B553" s="1" t="s">
        <v>46</v>
      </c>
      <c r="C553" s="2">
        <v>4937.6899999999996</v>
      </c>
      <c r="D553" s="2">
        <v>658.68</v>
      </c>
      <c r="E553" s="2">
        <v>911.56920000000071</v>
      </c>
      <c r="F553" s="2">
        <v>60822.529199999997</v>
      </c>
      <c r="I553" s="1"/>
    </row>
    <row r="554" spans="1:9" hidden="1">
      <c r="A554" s="2">
        <v>13800</v>
      </c>
      <c r="B554" s="1" t="s">
        <v>40</v>
      </c>
      <c r="C554" s="2">
        <v>7696.79</v>
      </c>
      <c r="D554" s="2">
        <v>10939.29</v>
      </c>
      <c r="E554" s="2">
        <v>12888.43</v>
      </c>
      <c r="F554" s="2">
        <v>116189.19999999998</v>
      </c>
      <c r="I554" s="1"/>
    </row>
    <row r="555" spans="1:9" hidden="1">
      <c r="A555" s="2">
        <v>13900</v>
      </c>
      <c r="B555" s="1" t="s">
        <v>39</v>
      </c>
      <c r="C555" s="2">
        <v>13900</v>
      </c>
      <c r="D555" s="2">
        <v>13900</v>
      </c>
      <c r="E555" s="2">
        <v>13900</v>
      </c>
      <c r="F555" s="2">
        <v>194600</v>
      </c>
      <c r="I555" s="1"/>
    </row>
    <row r="556" spans="1:9" hidden="1">
      <c r="A556" s="2">
        <v>13900</v>
      </c>
      <c r="B556" s="1" t="s">
        <v>45</v>
      </c>
      <c r="C556" s="2">
        <v>1165.52</v>
      </c>
      <c r="D556" s="2">
        <v>2202.0299999999997</v>
      </c>
      <c r="E556" s="2">
        <v>0</v>
      </c>
      <c r="F556" s="2">
        <v>16188.27</v>
      </c>
      <c r="I556" s="1"/>
    </row>
    <row r="557" spans="1:9" hidden="1">
      <c r="A557" s="2">
        <v>13900</v>
      </c>
      <c r="B557" s="1" t="s">
        <v>46</v>
      </c>
      <c r="C557" s="2">
        <v>4987.6899999999996</v>
      </c>
      <c r="D557" s="2">
        <v>664.68</v>
      </c>
      <c r="E557" s="2">
        <v>959.56920000000071</v>
      </c>
      <c r="F557" s="2">
        <v>61476.529199999997</v>
      </c>
      <c r="I557" s="1"/>
    </row>
    <row r="558" spans="1:9" hidden="1">
      <c r="A558" s="2">
        <v>13900</v>
      </c>
      <c r="B558" s="1" t="s">
        <v>40</v>
      </c>
      <c r="C558" s="2">
        <v>7746.79</v>
      </c>
      <c r="D558" s="2">
        <v>11033.29</v>
      </c>
      <c r="E558" s="2">
        <v>12940.43</v>
      </c>
      <c r="F558" s="2">
        <v>116935.19999999998</v>
      </c>
      <c r="I558" s="1"/>
    </row>
    <row r="559" spans="1:9" hidden="1">
      <c r="A559" s="2">
        <v>14000</v>
      </c>
      <c r="B559" s="1" t="s">
        <v>39</v>
      </c>
      <c r="C559" s="2">
        <v>14000</v>
      </c>
      <c r="D559" s="2">
        <v>14000</v>
      </c>
      <c r="E559" s="2">
        <v>14000</v>
      </c>
      <c r="F559" s="2">
        <v>196000</v>
      </c>
      <c r="I559" s="1"/>
    </row>
    <row r="560" spans="1:9" hidden="1">
      <c r="A560" s="2">
        <v>14000</v>
      </c>
      <c r="B560" s="1" t="s">
        <v>45</v>
      </c>
      <c r="C560" s="2">
        <v>1165.52</v>
      </c>
      <c r="D560" s="2">
        <v>2202.0299999999997</v>
      </c>
      <c r="E560" s="2">
        <v>0</v>
      </c>
      <c r="F560" s="2">
        <v>16188.27</v>
      </c>
      <c r="I560" s="1"/>
    </row>
    <row r="561" spans="1:9" hidden="1">
      <c r="A561" s="2">
        <v>14000</v>
      </c>
      <c r="B561" s="1" t="s">
        <v>46</v>
      </c>
      <c r="C561" s="2">
        <v>5037.6899999999996</v>
      </c>
      <c r="D561" s="2">
        <v>670.68</v>
      </c>
      <c r="E561" s="2">
        <v>1007.5692000000007</v>
      </c>
      <c r="F561" s="2">
        <v>62130.529199999997</v>
      </c>
      <c r="I561" s="1"/>
    </row>
    <row r="562" spans="1:9" hidden="1">
      <c r="A562" s="2">
        <v>14000</v>
      </c>
      <c r="B562" s="1" t="s">
        <v>40</v>
      </c>
      <c r="C562" s="2">
        <v>7796.79</v>
      </c>
      <c r="D562" s="2">
        <v>11127.29</v>
      </c>
      <c r="E562" s="2">
        <v>12992.43</v>
      </c>
      <c r="F562" s="2">
        <v>117681.19999999998</v>
      </c>
      <c r="I562" s="1"/>
    </row>
    <row r="563" spans="1:9" hidden="1">
      <c r="A563" s="2">
        <v>14100</v>
      </c>
      <c r="B563" s="1" t="s">
        <v>39</v>
      </c>
      <c r="C563" s="2">
        <v>14100</v>
      </c>
      <c r="D563" s="2">
        <v>14100</v>
      </c>
      <c r="E563" s="2">
        <v>14100</v>
      </c>
      <c r="F563" s="2">
        <v>197400</v>
      </c>
      <c r="I563" s="1"/>
    </row>
    <row r="564" spans="1:9" hidden="1">
      <c r="A564" s="2">
        <v>14100</v>
      </c>
      <c r="B564" s="1" t="s">
        <v>45</v>
      </c>
      <c r="C564" s="2">
        <v>1165.52</v>
      </c>
      <c r="D564" s="2">
        <v>2202.0299999999997</v>
      </c>
      <c r="E564" s="2">
        <v>0</v>
      </c>
      <c r="F564" s="2">
        <v>16188.27</v>
      </c>
      <c r="I564" s="1"/>
    </row>
    <row r="565" spans="1:9" hidden="1">
      <c r="A565" s="2">
        <v>14100</v>
      </c>
      <c r="B565" s="1" t="s">
        <v>46</v>
      </c>
      <c r="C565" s="2">
        <v>5087.6899999999996</v>
      </c>
      <c r="D565" s="2">
        <v>676.68</v>
      </c>
      <c r="E565" s="2">
        <v>1055.5692000000008</v>
      </c>
      <c r="F565" s="2">
        <v>62784.529199999997</v>
      </c>
      <c r="I565" s="1"/>
    </row>
    <row r="566" spans="1:9" hidden="1">
      <c r="A566" s="2">
        <v>14100</v>
      </c>
      <c r="B566" s="1" t="s">
        <v>40</v>
      </c>
      <c r="C566" s="2">
        <v>7846.79</v>
      </c>
      <c r="D566" s="2">
        <v>11221.29</v>
      </c>
      <c r="E566" s="2">
        <v>13044.43</v>
      </c>
      <c r="F566" s="2">
        <v>118427.19999999998</v>
      </c>
      <c r="I566" s="1"/>
    </row>
    <row r="567" spans="1:9" hidden="1">
      <c r="A567" s="2">
        <v>14200</v>
      </c>
      <c r="B567" s="1" t="s">
        <v>39</v>
      </c>
      <c r="C567" s="2">
        <v>14200</v>
      </c>
      <c r="D567" s="2">
        <v>14200</v>
      </c>
      <c r="E567" s="2">
        <v>14200</v>
      </c>
      <c r="F567" s="2">
        <v>198800</v>
      </c>
      <c r="I567" s="1"/>
    </row>
    <row r="568" spans="1:9" hidden="1">
      <c r="A568" s="2">
        <v>14200</v>
      </c>
      <c r="B568" s="1" t="s">
        <v>45</v>
      </c>
      <c r="C568" s="2">
        <v>1165.52</v>
      </c>
      <c r="D568" s="2">
        <v>2202.0299999999997</v>
      </c>
      <c r="E568" s="2">
        <v>0</v>
      </c>
      <c r="F568" s="2">
        <v>16188.27</v>
      </c>
      <c r="I568" s="1"/>
    </row>
    <row r="569" spans="1:9" hidden="1">
      <c r="A569" s="2">
        <v>14200</v>
      </c>
      <c r="B569" s="1" t="s">
        <v>46</v>
      </c>
      <c r="C569" s="2">
        <v>5137.6899999999996</v>
      </c>
      <c r="D569" s="2">
        <v>682.68</v>
      </c>
      <c r="E569" s="2">
        <v>1103.5692000000008</v>
      </c>
      <c r="F569" s="2">
        <v>63438.529199999997</v>
      </c>
      <c r="I569" s="1"/>
    </row>
    <row r="570" spans="1:9" hidden="1">
      <c r="A570" s="2">
        <v>14200</v>
      </c>
      <c r="B570" s="1" t="s">
        <v>40</v>
      </c>
      <c r="C570" s="2">
        <v>7896.79</v>
      </c>
      <c r="D570" s="2">
        <v>11315.29</v>
      </c>
      <c r="E570" s="2">
        <v>13096.43</v>
      </c>
      <c r="F570" s="2">
        <v>119173.19999999998</v>
      </c>
      <c r="I570" s="1"/>
    </row>
    <row r="571" spans="1:9" hidden="1">
      <c r="A571" s="2">
        <v>14300</v>
      </c>
      <c r="B571" s="1" t="s">
        <v>39</v>
      </c>
      <c r="C571" s="2">
        <v>14300</v>
      </c>
      <c r="D571" s="2">
        <v>14300</v>
      </c>
      <c r="E571" s="2">
        <v>14300</v>
      </c>
      <c r="F571" s="2">
        <v>200200</v>
      </c>
      <c r="I571" s="1"/>
    </row>
    <row r="572" spans="1:9" hidden="1">
      <c r="A572" s="2">
        <v>14300</v>
      </c>
      <c r="B572" s="1" t="s">
        <v>45</v>
      </c>
      <c r="C572" s="2">
        <v>1165.52</v>
      </c>
      <c r="D572" s="2">
        <v>2202.0299999999997</v>
      </c>
      <c r="E572" s="2">
        <v>0</v>
      </c>
      <c r="F572" s="2">
        <v>16188.27</v>
      </c>
      <c r="I572" s="1"/>
    </row>
    <row r="573" spans="1:9" hidden="1">
      <c r="A573" s="2">
        <v>14300</v>
      </c>
      <c r="B573" s="1" t="s">
        <v>46</v>
      </c>
      <c r="C573" s="2">
        <v>5187.6899999999996</v>
      </c>
      <c r="D573" s="2">
        <v>688.68</v>
      </c>
      <c r="E573" s="2">
        <v>1151.5692000000008</v>
      </c>
      <c r="F573" s="2">
        <v>64092.529199999997</v>
      </c>
      <c r="I573" s="1"/>
    </row>
    <row r="574" spans="1:9" hidden="1">
      <c r="A574" s="2">
        <v>14300</v>
      </c>
      <c r="B574" s="1" t="s">
        <v>40</v>
      </c>
      <c r="C574" s="2">
        <v>7946.79</v>
      </c>
      <c r="D574" s="2">
        <v>11409.29</v>
      </c>
      <c r="E574" s="2">
        <v>13148.43</v>
      </c>
      <c r="F574" s="2">
        <v>119919.19999999998</v>
      </c>
      <c r="I574" s="1"/>
    </row>
    <row r="575" spans="1:9" hidden="1">
      <c r="A575" s="2">
        <v>14400</v>
      </c>
      <c r="B575" s="1" t="s">
        <v>39</v>
      </c>
      <c r="C575" s="2">
        <v>14400</v>
      </c>
      <c r="D575" s="2">
        <v>14400</v>
      </c>
      <c r="E575" s="2">
        <v>14400</v>
      </c>
      <c r="F575" s="2">
        <v>201600</v>
      </c>
      <c r="I575" s="1"/>
    </row>
    <row r="576" spans="1:9" hidden="1">
      <c r="A576" s="2">
        <v>14400</v>
      </c>
      <c r="B576" s="1" t="s">
        <v>45</v>
      </c>
      <c r="C576" s="2">
        <v>1165.52</v>
      </c>
      <c r="D576" s="2">
        <v>2202.0299999999997</v>
      </c>
      <c r="E576" s="2">
        <v>0</v>
      </c>
      <c r="F576" s="2">
        <v>16188.27</v>
      </c>
      <c r="I576" s="1"/>
    </row>
    <row r="577" spans="1:9" hidden="1">
      <c r="A577" s="2">
        <v>14400</v>
      </c>
      <c r="B577" s="1" t="s">
        <v>46</v>
      </c>
      <c r="C577" s="2">
        <v>5237.6899999999996</v>
      </c>
      <c r="D577" s="2">
        <v>694.68</v>
      </c>
      <c r="E577" s="2">
        <v>1199.5692000000008</v>
      </c>
      <c r="F577" s="2">
        <v>64746.529199999997</v>
      </c>
      <c r="I577" s="1"/>
    </row>
    <row r="578" spans="1:9" hidden="1">
      <c r="A578" s="2">
        <v>14400</v>
      </c>
      <c r="B578" s="1" t="s">
        <v>40</v>
      </c>
      <c r="C578" s="2">
        <v>7996.79</v>
      </c>
      <c r="D578" s="2">
        <v>11503.29</v>
      </c>
      <c r="E578" s="2">
        <v>13200.43</v>
      </c>
      <c r="F578" s="2">
        <v>120665.19999999998</v>
      </c>
      <c r="I578" s="1"/>
    </row>
    <row r="579" spans="1:9" hidden="1">
      <c r="A579" s="2">
        <v>14500</v>
      </c>
      <c r="B579" s="1" t="s">
        <v>39</v>
      </c>
      <c r="C579" s="2">
        <v>14500</v>
      </c>
      <c r="D579" s="2">
        <v>14500</v>
      </c>
      <c r="E579" s="2">
        <v>14500</v>
      </c>
      <c r="F579" s="2">
        <v>203000</v>
      </c>
      <c r="I579" s="1"/>
    </row>
    <row r="580" spans="1:9" hidden="1">
      <c r="A580" s="2">
        <v>14500</v>
      </c>
      <c r="B580" s="1" t="s">
        <v>45</v>
      </c>
      <c r="C580" s="2">
        <v>1165.52</v>
      </c>
      <c r="D580" s="2">
        <v>2202.0299999999997</v>
      </c>
      <c r="E580" s="2">
        <v>0</v>
      </c>
      <c r="F580" s="2">
        <v>16188.27</v>
      </c>
      <c r="I580" s="1"/>
    </row>
    <row r="581" spans="1:9" hidden="1">
      <c r="A581" s="2">
        <v>14500</v>
      </c>
      <c r="B581" s="1" t="s">
        <v>46</v>
      </c>
      <c r="C581" s="2">
        <v>5287.69</v>
      </c>
      <c r="D581" s="2">
        <v>700.68</v>
      </c>
      <c r="E581" s="2">
        <v>1247.5692000000008</v>
      </c>
      <c r="F581" s="2">
        <v>65400.529199999997</v>
      </c>
      <c r="I581" s="1"/>
    </row>
    <row r="582" spans="1:9" hidden="1">
      <c r="A582" s="2">
        <v>14500</v>
      </c>
      <c r="B582" s="1" t="s">
        <v>40</v>
      </c>
      <c r="C582" s="2">
        <v>8046.79</v>
      </c>
      <c r="D582" s="2">
        <v>11597.29</v>
      </c>
      <c r="E582" s="2">
        <v>13252.43</v>
      </c>
      <c r="F582" s="2">
        <v>121411.19999999998</v>
      </c>
      <c r="I582" s="1"/>
    </row>
    <row r="583" spans="1:9" hidden="1">
      <c r="A583" s="2">
        <v>14600</v>
      </c>
      <c r="B583" s="1" t="s">
        <v>39</v>
      </c>
      <c r="C583" s="2">
        <v>14600</v>
      </c>
      <c r="D583" s="2">
        <v>14600</v>
      </c>
      <c r="E583" s="2">
        <v>14600</v>
      </c>
      <c r="F583" s="2">
        <v>204400</v>
      </c>
      <c r="I583" s="1"/>
    </row>
    <row r="584" spans="1:9" hidden="1">
      <c r="A584" s="2">
        <v>14600</v>
      </c>
      <c r="B584" s="1" t="s">
        <v>45</v>
      </c>
      <c r="C584" s="2">
        <v>1165.52</v>
      </c>
      <c r="D584" s="2">
        <v>2202.0299999999997</v>
      </c>
      <c r="E584" s="2">
        <v>0</v>
      </c>
      <c r="F584" s="2">
        <v>16188.27</v>
      </c>
      <c r="I584" s="1"/>
    </row>
    <row r="585" spans="1:9" hidden="1">
      <c r="A585" s="2">
        <v>14600</v>
      </c>
      <c r="B585" s="1" t="s">
        <v>46</v>
      </c>
      <c r="C585" s="2">
        <v>5337.69</v>
      </c>
      <c r="D585" s="2">
        <v>706.68</v>
      </c>
      <c r="E585" s="2">
        <v>1295.5692000000008</v>
      </c>
      <c r="F585" s="2">
        <v>66054.529200000004</v>
      </c>
      <c r="I585" s="1"/>
    </row>
    <row r="586" spans="1:9" hidden="1">
      <c r="A586" s="2">
        <v>14600</v>
      </c>
      <c r="B586" s="1" t="s">
        <v>40</v>
      </c>
      <c r="C586" s="2">
        <v>8096.79</v>
      </c>
      <c r="D586" s="2">
        <v>11691.29</v>
      </c>
      <c r="E586" s="2">
        <v>13304.43</v>
      </c>
      <c r="F586" s="2">
        <v>122157.19999999998</v>
      </c>
      <c r="I586" s="1"/>
    </row>
    <row r="587" spans="1:9" hidden="1">
      <c r="A587" s="2">
        <v>14700</v>
      </c>
      <c r="B587" s="1" t="s">
        <v>39</v>
      </c>
      <c r="C587" s="2">
        <v>14700</v>
      </c>
      <c r="D587" s="2">
        <v>14700</v>
      </c>
      <c r="E587" s="2">
        <v>14700</v>
      </c>
      <c r="F587" s="2">
        <v>205800</v>
      </c>
      <c r="I587" s="1"/>
    </row>
    <row r="588" spans="1:9" hidden="1">
      <c r="A588" s="2">
        <v>14700</v>
      </c>
      <c r="B588" s="1" t="s">
        <v>45</v>
      </c>
      <c r="C588" s="2">
        <v>1165.52</v>
      </c>
      <c r="D588" s="2">
        <v>2202.0299999999997</v>
      </c>
      <c r="E588" s="2">
        <v>0</v>
      </c>
      <c r="F588" s="2">
        <v>16188.27</v>
      </c>
      <c r="I588" s="1"/>
    </row>
    <row r="589" spans="1:9" hidden="1">
      <c r="A589" s="2">
        <v>14700</v>
      </c>
      <c r="B589" s="1" t="s">
        <v>46</v>
      </c>
      <c r="C589" s="2">
        <v>5387.69</v>
      </c>
      <c r="D589" s="2">
        <v>712.68</v>
      </c>
      <c r="E589" s="2">
        <v>1343.5692000000008</v>
      </c>
      <c r="F589" s="2">
        <v>66708.529200000004</v>
      </c>
      <c r="I589" s="1"/>
    </row>
    <row r="590" spans="1:9" hidden="1">
      <c r="A590" s="2">
        <v>14700</v>
      </c>
      <c r="B590" s="1" t="s">
        <v>40</v>
      </c>
      <c r="C590" s="2">
        <v>8146.79</v>
      </c>
      <c r="D590" s="2">
        <v>11785.29</v>
      </c>
      <c r="E590" s="2">
        <v>13356.43</v>
      </c>
      <c r="F590" s="2">
        <v>122903.19999999998</v>
      </c>
      <c r="I590" s="1"/>
    </row>
    <row r="591" spans="1:9" hidden="1">
      <c r="A591" s="2">
        <v>14800</v>
      </c>
      <c r="B591" s="1" t="s">
        <v>39</v>
      </c>
      <c r="C591" s="2">
        <v>14800</v>
      </c>
      <c r="D591" s="2">
        <v>14800</v>
      </c>
      <c r="E591" s="2">
        <v>14800</v>
      </c>
      <c r="F591" s="2">
        <v>207200</v>
      </c>
      <c r="I591" s="1"/>
    </row>
    <row r="592" spans="1:9" hidden="1">
      <c r="A592" s="2">
        <v>14800</v>
      </c>
      <c r="B592" s="1" t="s">
        <v>45</v>
      </c>
      <c r="C592" s="2">
        <v>1165.52</v>
      </c>
      <c r="D592" s="2">
        <v>2202.0299999999997</v>
      </c>
      <c r="E592" s="2">
        <v>0</v>
      </c>
      <c r="F592" s="2">
        <v>16188.27</v>
      </c>
      <c r="I592" s="1"/>
    </row>
    <row r="593" spans="1:9" hidden="1">
      <c r="A593" s="2">
        <v>14800</v>
      </c>
      <c r="B593" s="1" t="s">
        <v>46</v>
      </c>
      <c r="C593" s="2">
        <v>5437.69</v>
      </c>
      <c r="D593" s="2">
        <v>718.68</v>
      </c>
      <c r="E593" s="2">
        <v>1391.5692000000008</v>
      </c>
      <c r="F593" s="2">
        <v>67362.52919999999</v>
      </c>
      <c r="I593" s="1"/>
    </row>
    <row r="594" spans="1:9" hidden="1">
      <c r="A594" s="2">
        <v>14800</v>
      </c>
      <c r="B594" s="1" t="s">
        <v>40</v>
      </c>
      <c r="C594" s="2">
        <v>8196.7900000000009</v>
      </c>
      <c r="D594" s="2">
        <v>11879.29</v>
      </c>
      <c r="E594" s="2">
        <v>13408.43</v>
      </c>
      <c r="F594" s="2">
        <v>123649.20000000001</v>
      </c>
      <c r="I594" s="1"/>
    </row>
    <row r="595" spans="1:9" hidden="1">
      <c r="A595" s="2">
        <v>14900</v>
      </c>
      <c r="B595" s="1" t="s">
        <v>39</v>
      </c>
      <c r="C595" s="2">
        <v>14900</v>
      </c>
      <c r="D595" s="2">
        <v>14900</v>
      </c>
      <c r="E595" s="2">
        <v>14900</v>
      </c>
      <c r="F595" s="2">
        <v>208600</v>
      </c>
      <c r="I595" s="1"/>
    </row>
    <row r="596" spans="1:9" hidden="1">
      <c r="A596" s="2">
        <v>14900</v>
      </c>
      <c r="B596" s="1" t="s">
        <v>45</v>
      </c>
      <c r="C596" s="2">
        <v>1165.52</v>
      </c>
      <c r="D596" s="2">
        <v>2202.0299999999997</v>
      </c>
      <c r="E596" s="2">
        <v>0</v>
      </c>
      <c r="F596" s="2">
        <v>16188.27</v>
      </c>
      <c r="I596" s="1"/>
    </row>
    <row r="597" spans="1:9" hidden="1">
      <c r="A597" s="2">
        <v>14900</v>
      </c>
      <c r="B597" s="1" t="s">
        <v>46</v>
      </c>
      <c r="C597" s="2">
        <v>5487.69</v>
      </c>
      <c r="D597" s="2">
        <v>724.68</v>
      </c>
      <c r="E597" s="2">
        <v>1439.5692000000008</v>
      </c>
      <c r="F597" s="2">
        <v>68016.52919999999</v>
      </c>
      <c r="I597" s="1"/>
    </row>
    <row r="598" spans="1:9" hidden="1">
      <c r="A598" s="2">
        <v>14900</v>
      </c>
      <c r="B598" s="1" t="s">
        <v>40</v>
      </c>
      <c r="C598" s="2">
        <v>8246.7900000000009</v>
      </c>
      <c r="D598" s="2">
        <v>11973.29</v>
      </c>
      <c r="E598" s="2">
        <v>13460.43</v>
      </c>
      <c r="F598" s="2">
        <v>124395.20000000001</v>
      </c>
      <c r="I598" s="1"/>
    </row>
    <row r="599" spans="1:9" hidden="1">
      <c r="A599" s="2">
        <v>15000</v>
      </c>
      <c r="B599" s="1" t="s">
        <v>39</v>
      </c>
      <c r="C599" s="2">
        <v>15000</v>
      </c>
      <c r="D599" s="2">
        <v>15000</v>
      </c>
      <c r="E599" s="2">
        <v>15000</v>
      </c>
      <c r="F599" s="2">
        <v>210000</v>
      </c>
      <c r="I599" s="1"/>
    </row>
    <row r="600" spans="1:9" hidden="1">
      <c r="A600" s="2">
        <v>15000</v>
      </c>
      <c r="B600" s="1" t="s">
        <v>45</v>
      </c>
      <c r="C600" s="2">
        <v>1165.52</v>
      </c>
      <c r="D600" s="2">
        <v>2202.0299999999997</v>
      </c>
      <c r="E600" s="2">
        <v>0</v>
      </c>
      <c r="F600" s="2">
        <v>16188.27</v>
      </c>
      <c r="I600" s="1"/>
    </row>
    <row r="601" spans="1:9" hidden="1">
      <c r="A601" s="2">
        <v>15000</v>
      </c>
      <c r="B601" s="1" t="s">
        <v>46</v>
      </c>
      <c r="C601" s="2">
        <v>5537.69</v>
      </c>
      <c r="D601" s="2">
        <v>730.68</v>
      </c>
      <c r="E601" s="2">
        <v>1487.5692000000008</v>
      </c>
      <c r="F601" s="2">
        <v>68670.52919999999</v>
      </c>
      <c r="I601" s="1"/>
    </row>
    <row r="602" spans="1:9" hidden="1">
      <c r="A602" s="2">
        <v>15000</v>
      </c>
      <c r="B602" s="1" t="s">
        <v>40</v>
      </c>
      <c r="C602" s="2">
        <v>8296.7900000000009</v>
      </c>
      <c r="D602" s="2">
        <v>12067.29</v>
      </c>
      <c r="E602" s="2">
        <v>13512.43</v>
      </c>
      <c r="F602" s="2">
        <v>125141.20000000001</v>
      </c>
      <c r="I602" s="1"/>
    </row>
    <row r="603" spans="1:9">
      <c r="I603" s="1"/>
    </row>
    <row r="604" spans="1:9">
      <c r="I604" s="1"/>
    </row>
    <row r="605" spans="1:9">
      <c r="I605" s="1"/>
    </row>
    <row r="606" spans="1:9">
      <c r="I606" s="1"/>
    </row>
    <row r="607" spans="1:9">
      <c r="I607" s="1"/>
    </row>
    <row r="608" spans="1:9">
      <c r="I608" s="1"/>
    </row>
    <row r="609" spans="9:9">
      <c r="I609" s="1"/>
    </row>
    <row r="610" spans="9:9">
      <c r="I610" s="1"/>
    </row>
    <row r="611" spans="9:9">
      <c r="I611" s="1"/>
    </row>
    <row r="612" spans="9:9">
      <c r="I612" s="1"/>
    </row>
    <row r="613" spans="9:9">
      <c r="I613" s="1"/>
    </row>
    <row r="614" spans="9:9">
      <c r="I614" s="1"/>
    </row>
    <row r="615" spans="9:9">
      <c r="I615" s="1"/>
    </row>
    <row r="616" spans="9:9">
      <c r="I616" s="1"/>
    </row>
    <row r="617" spans="9:9">
      <c r="I617" s="1"/>
    </row>
    <row r="618" spans="9:9">
      <c r="I618" s="1"/>
    </row>
    <row r="619" spans="9:9">
      <c r="I619" s="1"/>
    </row>
    <row r="620" spans="9:9">
      <c r="I620" s="1"/>
    </row>
    <row r="621" spans="9:9">
      <c r="I621" s="1"/>
    </row>
    <row r="622" spans="9:9">
      <c r="I622" s="1"/>
    </row>
    <row r="623" spans="9:9">
      <c r="I623" s="1"/>
    </row>
    <row r="624" spans="9:9">
      <c r="I624" s="1"/>
    </row>
    <row r="625" spans="9:9">
      <c r="I625" s="1"/>
    </row>
    <row r="626" spans="9:9">
      <c r="I626" s="1"/>
    </row>
    <row r="627" spans="9:9">
      <c r="I627" s="1"/>
    </row>
    <row r="628" spans="9:9">
      <c r="I628" s="1"/>
    </row>
    <row r="629" spans="9:9">
      <c r="I629" s="1"/>
    </row>
    <row r="630" spans="9:9">
      <c r="I630" s="1"/>
    </row>
    <row r="631" spans="9:9">
      <c r="I631" s="1"/>
    </row>
    <row r="632" spans="9:9">
      <c r="I632" s="1"/>
    </row>
    <row r="633" spans="9:9">
      <c r="I633" s="1"/>
    </row>
    <row r="634" spans="9:9">
      <c r="I634" s="1"/>
    </row>
    <row r="635" spans="9:9">
      <c r="I635" s="1"/>
    </row>
    <row r="636" spans="9:9">
      <c r="I636" s="1"/>
    </row>
    <row r="637" spans="9:9">
      <c r="I637" s="1"/>
    </row>
    <row r="638" spans="9:9">
      <c r="I638" s="1"/>
    </row>
    <row r="639" spans="9:9">
      <c r="I639" s="1"/>
    </row>
    <row r="640" spans="9:9">
      <c r="I640" s="1"/>
    </row>
    <row r="641" spans="9:9">
      <c r="I641" s="1"/>
    </row>
    <row r="642" spans="9:9">
      <c r="I642" s="1"/>
    </row>
    <row r="643" spans="9:9">
      <c r="I643" s="1"/>
    </row>
    <row r="644" spans="9:9">
      <c r="I644" s="1"/>
    </row>
    <row r="645" spans="9:9">
      <c r="I645" s="1"/>
    </row>
    <row r="646" spans="9:9">
      <c r="I646" s="1"/>
    </row>
    <row r="647" spans="9:9">
      <c r="I647" s="1"/>
    </row>
    <row r="648" spans="9:9">
      <c r="I648" s="1"/>
    </row>
    <row r="649" spans="9:9">
      <c r="I649" s="1"/>
    </row>
    <row r="650" spans="9:9">
      <c r="I650" s="1"/>
    </row>
    <row r="651" spans="9:9">
      <c r="I651" s="1"/>
    </row>
    <row r="652" spans="9:9">
      <c r="I652" s="1"/>
    </row>
    <row r="653" spans="9:9">
      <c r="I653" s="1"/>
    </row>
    <row r="654" spans="9:9">
      <c r="I654" s="1"/>
    </row>
    <row r="655" spans="9:9">
      <c r="I655" s="1"/>
    </row>
    <row r="656" spans="9:9">
      <c r="I656" s="1"/>
    </row>
    <row r="657" spans="9:9">
      <c r="I657" s="1"/>
    </row>
    <row r="658" spans="9:9">
      <c r="I658" s="1"/>
    </row>
    <row r="659" spans="9:9">
      <c r="I659" s="1"/>
    </row>
    <row r="660" spans="9:9">
      <c r="I660" s="1"/>
    </row>
    <row r="661" spans="9:9">
      <c r="I661" s="1"/>
    </row>
    <row r="662" spans="9:9">
      <c r="I662" s="1"/>
    </row>
    <row r="663" spans="9:9">
      <c r="I663" s="1"/>
    </row>
    <row r="664" spans="9:9">
      <c r="I664" s="1"/>
    </row>
    <row r="665" spans="9:9">
      <c r="I665" s="1"/>
    </row>
    <row r="666" spans="9:9">
      <c r="I666" s="1"/>
    </row>
    <row r="667" spans="9:9">
      <c r="I667" s="1"/>
    </row>
    <row r="668" spans="9:9">
      <c r="I668" s="1"/>
    </row>
    <row r="669" spans="9:9">
      <c r="I669" s="1"/>
    </row>
    <row r="670" spans="9:9">
      <c r="I670" s="1"/>
    </row>
    <row r="671" spans="9:9">
      <c r="I671" s="1"/>
    </row>
    <row r="672" spans="9:9">
      <c r="I672" s="1"/>
    </row>
    <row r="673" spans="9:9">
      <c r="I673" s="1"/>
    </row>
    <row r="674" spans="9:9">
      <c r="I674" s="1"/>
    </row>
    <row r="675" spans="9:9">
      <c r="I675" s="1"/>
    </row>
    <row r="676" spans="9:9">
      <c r="I676" s="1"/>
    </row>
    <row r="677" spans="9:9">
      <c r="I677" s="1"/>
    </row>
    <row r="678" spans="9:9">
      <c r="I678" s="1"/>
    </row>
    <row r="679" spans="9:9">
      <c r="I679" s="1"/>
    </row>
    <row r="680" spans="9:9">
      <c r="I680" s="1"/>
    </row>
    <row r="681" spans="9:9">
      <c r="I681" s="1"/>
    </row>
    <row r="682" spans="9:9">
      <c r="I682" s="1"/>
    </row>
    <row r="683" spans="9:9">
      <c r="I683" s="1"/>
    </row>
    <row r="684" spans="9:9">
      <c r="I684" s="1"/>
    </row>
    <row r="685" spans="9:9">
      <c r="I685" s="1"/>
    </row>
    <row r="686" spans="9:9">
      <c r="I686" s="1"/>
    </row>
    <row r="687" spans="9:9">
      <c r="I687" s="1"/>
    </row>
    <row r="688" spans="9:9">
      <c r="I688" s="1"/>
    </row>
    <row r="689" spans="9:9">
      <c r="I689" s="1"/>
    </row>
    <row r="690" spans="9:9">
      <c r="I690" s="1"/>
    </row>
    <row r="691" spans="9:9">
      <c r="I691" s="1"/>
    </row>
    <row r="692" spans="9:9">
      <c r="I692" s="1"/>
    </row>
    <row r="693" spans="9:9">
      <c r="I693" s="1"/>
    </row>
    <row r="694" spans="9:9">
      <c r="I694" s="1"/>
    </row>
    <row r="695" spans="9:9">
      <c r="I695" s="1"/>
    </row>
    <row r="696" spans="9:9">
      <c r="I696" s="1"/>
    </row>
    <row r="697" spans="9:9">
      <c r="I697" s="1"/>
    </row>
    <row r="698" spans="9:9">
      <c r="I698" s="1"/>
    </row>
    <row r="699" spans="9:9">
      <c r="I699" s="1"/>
    </row>
    <row r="700" spans="9:9">
      <c r="I700" s="1"/>
    </row>
    <row r="701" spans="9:9">
      <c r="I701" s="1"/>
    </row>
    <row r="702" spans="9:9">
      <c r="I702" s="1"/>
    </row>
    <row r="703" spans="9:9">
      <c r="I703" s="1"/>
    </row>
    <row r="704" spans="9:9">
      <c r="I704" s="1"/>
    </row>
    <row r="705" spans="9:9">
      <c r="I705" s="1"/>
    </row>
    <row r="706" spans="9:9">
      <c r="I706" s="1"/>
    </row>
    <row r="707" spans="9:9">
      <c r="I707" s="1"/>
    </row>
    <row r="708" spans="9:9">
      <c r="I708" s="1"/>
    </row>
    <row r="709" spans="9:9">
      <c r="I709" s="1"/>
    </row>
    <row r="710" spans="9:9">
      <c r="I710" s="1"/>
    </row>
    <row r="711" spans="9:9">
      <c r="I711" s="1"/>
    </row>
    <row r="712" spans="9:9">
      <c r="I712" s="1"/>
    </row>
    <row r="713" spans="9:9">
      <c r="I713" s="1"/>
    </row>
    <row r="714" spans="9:9">
      <c r="I714" s="1"/>
    </row>
    <row r="715" spans="9:9">
      <c r="I715" s="1"/>
    </row>
    <row r="716" spans="9:9">
      <c r="I716" s="1"/>
    </row>
    <row r="717" spans="9:9">
      <c r="I717" s="1"/>
    </row>
    <row r="718" spans="9:9">
      <c r="I718" s="1"/>
    </row>
    <row r="719" spans="9:9">
      <c r="I719" s="1"/>
    </row>
    <row r="720" spans="9:9">
      <c r="I720" s="1"/>
    </row>
    <row r="721" spans="9:9">
      <c r="I721" s="1"/>
    </row>
    <row r="722" spans="9:9">
      <c r="I722" s="1"/>
    </row>
    <row r="723" spans="9:9">
      <c r="I723" s="1"/>
    </row>
    <row r="724" spans="9:9">
      <c r="I724" s="1"/>
    </row>
    <row r="725" spans="9:9">
      <c r="I725" s="1"/>
    </row>
    <row r="726" spans="9:9">
      <c r="I726" s="1"/>
    </row>
    <row r="727" spans="9:9">
      <c r="I727" s="1"/>
    </row>
    <row r="728" spans="9:9">
      <c r="I728" s="1"/>
    </row>
    <row r="729" spans="9:9">
      <c r="I729" s="1"/>
    </row>
    <row r="730" spans="9:9">
      <c r="I730" s="1"/>
    </row>
    <row r="731" spans="9:9">
      <c r="I731" s="1"/>
    </row>
    <row r="732" spans="9:9">
      <c r="I732" s="1"/>
    </row>
    <row r="733" spans="9:9">
      <c r="I733" s="1"/>
    </row>
    <row r="734" spans="9:9">
      <c r="I734" s="1"/>
    </row>
    <row r="735" spans="9:9">
      <c r="I735" s="1"/>
    </row>
    <row r="736" spans="9:9">
      <c r="I736" s="1"/>
    </row>
    <row r="737" spans="9:9">
      <c r="I737" s="1"/>
    </row>
    <row r="738" spans="9:9">
      <c r="I738" s="1"/>
    </row>
    <row r="739" spans="9:9">
      <c r="I739" s="1"/>
    </row>
    <row r="740" spans="9:9">
      <c r="I740" s="1"/>
    </row>
    <row r="741" spans="9:9">
      <c r="I741" s="1"/>
    </row>
    <row r="742" spans="9:9">
      <c r="I742" s="1"/>
    </row>
    <row r="743" spans="9:9">
      <c r="I743" s="1"/>
    </row>
    <row r="744" spans="9:9">
      <c r="I744" s="1"/>
    </row>
    <row r="745" spans="9:9">
      <c r="I745" s="1"/>
    </row>
    <row r="746" spans="9:9">
      <c r="I746" s="1"/>
    </row>
    <row r="747" spans="9:9">
      <c r="I747" s="1"/>
    </row>
    <row r="748" spans="9:9">
      <c r="I748" s="1"/>
    </row>
    <row r="749" spans="9:9">
      <c r="I749" s="1"/>
    </row>
    <row r="750" spans="9:9">
      <c r="I750" s="1"/>
    </row>
    <row r="751" spans="9:9">
      <c r="I751" s="1"/>
    </row>
    <row r="752" spans="9:9">
      <c r="I752" s="1"/>
    </row>
    <row r="753" spans="9:9">
      <c r="I753" s="1"/>
    </row>
    <row r="754" spans="9:9">
      <c r="I754" s="1"/>
    </row>
    <row r="755" spans="9:9">
      <c r="I755" s="1"/>
    </row>
    <row r="756" spans="9:9">
      <c r="I756" s="1"/>
    </row>
    <row r="757" spans="9:9">
      <c r="I757" s="1"/>
    </row>
    <row r="758" spans="9:9">
      <c r="I758" s="1"/>
    </row>
    <row r="759" spans="9:9">
      <c r="I759" s="1"/>
    </row>
    <row r="760" spans="9:9">
      <c r="I760" s="1"/>
    </row>
    <row r="761" spans="9:9">
      <c r="I761" s="1"/>
    </row>
    <row r="762" spans="9:9">
      <c r="I762" s="1"/>
    </row>
    <row r="763" spans="9:9">
      <c r="I763" s="1"/>
    </row>
    <row r="764" spans="9:9">
      <c r="I764" s="1"/>
    </row>
    <row r="765" spans="9:9">
      <c r="I765" s="1"/>
    </row>
    <row r="766" spans="9:9">
      <c r="I766" s="1"/>
    </row>
    <row r="767" spans="9:9">
      <c r="I767" s="1"/>
    </row>
    <row r="768" spans="9:9">
      <c r="I768" s="1"/>
    </row>
    <row r="769" spans="9:9">
      <c r="I769" s="1"/>
    </row>
    <row r="770" spans="9:9">
      <c r="I770" s="1"/>
    </row>
    <row r="771" spans="9:9">
      <c r="I771" s="1"/>
    </row>
    <row r="772" spans="9:9">
      <c r="I772" s="1"/>
    </row>
    <row r="773" spans="9:9">
      <c r="I773" s="1"/>
    </row>
    <row r="774" spans="9:9">
      <c r="I774" s="1"/>
    </row>
    <row r="775" spans="9:9">
      <c r="I775" s="1"/>
    </row>
    <row r="776" spans="9:9">
      <c r="I776" s="1"/>
    </row>
    <row r="777" spans="9:9">
      <c r="I777" s="1"/>
    </row>
    <row r="778" spans="9:9">
      <c r="I778" s="1"/>
    </row>
    <row r="779" spans="9:9">
      <c r="I779" s="1"/>
    </row>
    <row r="780" spans="9:9">
      <c r="I780" s="1"/>
    </row>
    <row r="781" spans="9:9">
      <c r="I781" s="1"/>
    </row>
    <row r="782" spans="9:9">
      <c r="I782" s="1"/>
    </row>
    <row r="783" spans="9:9">
      <c r="I783" s="1"/>
    </row>
    <row r="784" spans="9:9">
      <c r="I784" s="1"/>
    </row>
    <row r="785" spans="9:9">
      <c r="I785" s="1"/>
    </row>
    <row r="786" spans="9:9">
      <c r="I786" s="1"/>
    </row>
    <row r="787" spans="9:9">
      <c r="I787" s="1"/>
    </row>
    <row r="788" spans="9:9">
      <c r="I788" s="1"/>
    </row>
    <row r="789" spans="9:9">
      <c r="I789" s="1"/>
    </row>
    <row r="790" spans="9:9">
      <c r="I790" s="1"/>
    </row>
    <row r="791" spans="9:9">
      <c r="I791" s="1"/>
    </row>
    <row r="792" spans="9:9">
      <c r="I792" s="1"/>
    </row>
    <row r="793" spans="9:9">
      <c r="I793" s="1"/>
    </row>
    <row r="794" spans="9:9">
      <c r="I794" s="1"/>
    </row>
    <row r="795" spans="9:9">
      <c r="I795" s="1"/>
    </row>
    <row r="796" spans="9:9">
      <c r="I796" s="1"/>
    </row>
    <row r="797" spans="9:9">
      <c r="I797" s="1"/>
    </row>
    <row r="798" spans="9:9">
      <c r="I798" s="1"/>
    </row>
    <row r="799" spans="9:9">
      <c r="I799" s="1"/>
    </row>
    <row r="800" spans="9:9">
      <c r="I800" s="1"/>
    </row>
    <row r="801" spans="9:9">
      <c r="I801" s="1"/>
    </row>
    <row r="802" spans="9:9">
      <c r="I802" s="1"/>
    </row>
    <row r="803" spans="9:9">
      <c r="I803" s="1"/>
    </row>
    <row r="804" spans="9:9">
      <c r="I804" s="1"/>
    </row>
    <row r="805" spans="9:9">
      <c r="I805" s="1"/>
    </row>
    <row r="806" spans="9:9">
      <c r="I806" s="1"/>
    </row>
    <row r="807" spans="9:9">
      <c r="I807" s="1"/>
    </row>
    <row r="808" spans="9:9">
      <c r="I808" s="1"/>
    </row>
    <row r="809" spans="9:9">
      <c r="I809" s="1"/>
    </row>
    <row r="810" spans="9:9">
      <c r="I810" s="1"/>
    </row>
    <row r="811" spans="9:9">
      <c r="I811" s="1"/>
    </row>
    <row r="812" spans="9:9">
      <c r="I812" s="1"/>
    </row>
    <row r="813" spans="9:9">
      <c r="I813" s="1"/>
    </row>
    <row r="814" spans="9:9">
      <c r="I814" s="1"/>
    </row>
    <row r="815" spans="9:9">
      <c r="I815" s="1"/>
    </row>
    <row r="816" spans="9:9">
      <c r="I816" s="1"/>
    </row>
    <row r="817" spans="9:9">
      <c r="I817" s="1"/>
    </row>
    <row r="818" spans="9:9">
      <c r="I818" s="1"/>
    </row>
    <row r="819" spans="9:9">
      <c r="I819" s="1"/>
    </row>
    <row r="820" spans="9:9">
      <c r="I820" s="1"/>
    </row>
    <row r="821" spans="9:9">
      <c r="I821" s="1"/>
    </row>
    <row r="822" spans="9:9">
      <c r="I822" s="1"/>
    </row>
    <row r="823" spans="9:9">
      <c r="I823" s="1"/>
    </row>
    <row r="824" spans="9:9">
      <c r="I824" s="1"/>
    </row>
    <row r="825" spans="9:9">
      <c r="I825" s="1"/>
    </row>
    <row r="826" spans="9:9">
      <c r="I826" s="1"/>
    </row>
    <row r="827" spans="9:9">
      <c r="I827" s="1"/>
    </row>
    <row r="828" spans="9:9">
      <c r="I828" s="1"/>
    </row>
    <row r="829" spans="9:9">
      <c r="I829" s="1"/>
    </row>
    <row r="830" spans="9:9">
      <c r="I830" s="1"/>
    </row>
    <row r="831" spans="9:9">
      <c r="I831" s="1"/>
    </row>
    <row r="832" spans="9:9">
      <c r="I832" s="1"/>
    </row>
    <row r="833" spans="9:9">
      <c r="I833" s="1"/>
    </row>
    <row r="834" spans="9:9">
      <c r="I834" s="1"/>
    </row>
    <row r="835" spans="9:9">
      <c r="I835" s="1"/>
    </row>
    <row r="836" spans="9:9">
      <c r="I836" s="1"/>
    </row>
    <row r="837" spans="9:9">
      <c r="I837" s="1"/>
    </row>
    <row r="838" spans="9:9">
      <c r="I838" s="1"/>
    </row>
    <row r="839" spans="9:9">
      <c r="I839" s="1"/>
    </row>
    <row r="840" spans="9:9">
      <c r="I840" s="1"/>
    </row>
    <row r="841" spans="9:9">
      <c r="I841" s="1"/>
    </row>
    <row r="842" spans="9:9">
      <c r="I842" s="1"/>
    </row>
    <row r="843" spans="9:9">
      <c r="I843" s="1"/>
    </row>
    <row r="844" spans="9:9">
      <c r="I844" s="1"/>
    </row>
    <row r="845" spans="9:9">
      <c r="I845" s="1"/>
    </row>
    <row r="846" spans="9:9">
      <c r="I846" s="1"/>
    </row>
    <row r="847" spans="9:9">
      <c r="I847" s="1"/>
    </row>
    <row r="848" spans="9:9">
      <c r="I848" s="1"/>
    </row>
    <row r="849" spans="9:9">
      <c r="I849" s="1"/>
    </row>
    <row r="850" spans="9:9">
      <c r="I850" s="1"/>
    </row>
    <row r="851" spans="9:9">
      <c r="I851" s="1"/>
    </row>
    <row r="852" spans="9:9">
      <c r="I852" s="1"/>
    </row>
    <row r="853" spans="9:9">
      <c r="I853" s="1"/>
    </row>
    <row r="854" spans="9:9">
      <c r="I854" s="1"/>
    </row>
    <row r="855" spans="9:9">
      <c r="I855" s="1"/>
    </row>
    <row r="856" spans="9:9">
      <c r="I856" s="1"/>
    </row>
    <row r="857" spans="9:9">
      <c r="I857" s="1"/>
    </row>
    <row r="858" spans="9:9">
      <c r="I858" s="1"/>
    </row>
    <row r="859" spans="9:9">
      <c r="I859" s="1"/>
    </row>
    <row r="860" spans="9:9">
      <c r="I860" s="1"/>
    </row>
    <row r="861" spans="9:9">
      <c r="I861" s="1"/>
    </row>
    <row r="862" spans="9:9">
      <c r="I862" s="1"/>
    </row>
    <row r="863" spans="9:9">
      <c r="I863" s="1"/>
    </row>
    <row r="864" spans="9:9">
      <c r="I864" s="1"/>
    </row>
    <row r="865" spans="9:9">
      <c r="I865" s="1"/>
    </row>
    <row r="866" spans="9:9">
      <c r="I866" s="1"/>
    </row>
    <row r="867" spans="9:9">
      <c r="I867" s="1"/>
    </row>
    <row r="868" spans="9:9">
      <c r="I868" s="1"/>
    </row>
    <row r="869" spans="9:9">
      <c r="I869" s="1"/>
    </row>
    <row r="870" spans="9:9">
      <c r="I870" s="1"/>
    </row>
    <row r="871" spans="9:9">
      <c r="I871" s="1"/>
    </row>
    <row r="872" spans="9:9">
      <c r="I872" s="1"/>
    </row>
    <row r="873" spans="9:9">
      <c r="I873" s="1"/>
    </row>
    <row r="874" spans="9:9">
      <c r="I874" s="1"/>
    </row>
    <row r="875" spans="9:9">
      <c r="I875" s="1"/>
    </row>
    <row r="876" spans="9:9">
      <c r="I876" s="1"/>
    </row>
    <row r="877" spans="9:9">
      <c r="I877" s="1"/>
    </row>
    <row r="878" spans="9:9">
      <c r="I878" s="1"/>
    </row>
    <row r="879" spans="9:9">
      <c r="I879" s="1"/>
    </row>
    <row r="880" spans="9:9">
      <c r="I880" s="1"/>
    </row>
    <row r="881" spans="9:9">
      <c r="I881" s="1"/>
    </row>
    <row r="882" spans="9:9">
      <c r="I882" s="1"/>
    </row>
    <row r="883" spans="9:9">
      <c r="I883" s="1"/>
    </row>
    <row r="884" spans="9:9">
      <c r="I884" s="1"/>
    </row>
    <row r="885" spans="9:9">
      <c r="I885" s="1"/>
    </row>
    <row r="886" spans="9:9">
      <c r="I886" s="1"/>
    </row>
    <row r="887" spans="9:9">
      <c r="I887" s="1"/>
    </row>
    <row r="888" spans="9:9">
      <c r="I888" s="1"/>
    </row>
    <row r="889" spans="9:9">
      <c r="I889" s="1"/>
    </row>
    <row r="890" spans="9:9">
      <c r="I890" s="1"/>
    </row>
    <row r="891" spans="9:9">
      <c r="I891" s="1"/>
    </row>
    <row r="892" spans="9:9">
      <c r="I892" s="1"/>
    </row>
    <row r="893" spans="9:9">
      <c r="I893" s="1"/>
    </row>
    <row r="894" spans="9:9">
      <c r="I894" s="1"/>
    </row>
    <row r="895" spans="9:9">
      <c r="I895" s="1"/>
    </row>
    <row r="896" spans="9:9">
      <c r="I896" s="1"/>
    </row>
    <row r="897" spans="9:9">
      <c r="I897" s="1"/>
    </row>
    <row r="898" spans="9:9">
      <c r="I898" s="1"/>
    </row>
    <row r="899" spans="9:9">
      <c r="I899" s="1"/>
    </row>
    <row r="900" spans="9:9">
      <c r="I900" s="1"/>
    </row>
    <row r="901" spans="9:9">
      <c r="I901" s="1"/>
    </row>
    <row r="902" spans="9:9">
      <c r="I902" s="1"/>
    </row>
    <row r="903" spans="9:9">
      <c r="I903" s="1"/>
    </row>
    <row r="904" spans="9:9">
      <c r="I904" s="1"/>
    </row>
    <row r="905" spans="9:9">
      <c r="I905" s="1"/>
    </row>
    <row r="906" spans="9:9">
      <c r="I906" s="1"/>
    </row>
    <row r="907" spans="9:9">
      <c r="I907" s="1"/>
    </row>
    <row r="908" spans="9:9">
      <c r="I908" s="1"/>
    </row>
    <row r="909" spans="9:9">
      <c r="I909" s="1"/>
    </row>
    <row r="910" spans="9:9">
      <c r="I910" s="1"/>
    </row>
    <row r="911" spans="9:9">
      <c r="I911" s="1"/>
    </row>
    <row r="912" spans="9:9">
      <c r="I912" s="1"/>
    </row>
    <row r="913" spans="9:9">
      <c r="I913" s="1"/>
    </row>
    <row r="914" spans="9:9">
      <c r="I914" s="1"/>
    </row>
    <row r="915" spans="9:9">
      <c r="I915" s="1"/>
    </row>
    <row r="916" spans="9:9">
      <c r="I916" s="1"/>
    </row>
    <row r="917" spans="9:9">
      <c r="I917" s="1"/>
    </row>
    <row r="918" spans="9:9">
      <c r="I918" s="1"/>
    </row>
    <row r="919" spans="9:9">
      <c r="I919" s="1"/>
    </row>
    <row r="920" spans="9:9">
      <c r="I920" s="1"/>
    </row>
    <row r="921" spans="9:9">
      <c r="I921" s="1"/>
    </row>
    <row r="922" spans="9:9">
      <c r="I922" s="1"/>
    </row>
    <row r="923" spans="9:9">
      <c r="I923" s="1"/>
    </row>
    <row r="924" spans="9:9">
      <c r="I924" s="1"/>
    </row>
    <row r="925" spans="9:9">
      <c r="I925" s="1"/>
    </row>
    <row r="926" spans="9:9">
      <c r="I926" s="1"/>
    </row>
    <row r="927" spans="9:9">
      <c r="I927" s="1"/>
    </row>
    <row r="928" spans="9:9">
      <c r="I928" s="1"/>
    </row>
    <row r="929" spans="9:9">
      <c r="I929" s="1"/>
    </row>
    <row r="930" spans="9:9">
      <c r="I930" s="1"/>
    </row>
    <row r="931" spans="9:9">
      <c r="I931" s="1"/>
    </row>
    <row r="932" spans="9:9">
      <c r="I932" s="1"/>
    </row>
    <row r="933" spans="9:9">
      <c r="I933" s="1"/>
    </row>
    <row r="934" spans="9:9">
      <c r="I934" s="1"/>
    </row>
    <row r="935" spans="9:9">
      <c r="I935" s="1"/>
    </row>
    <row r="936" spans="9:9">
      <c r="I936" s="1"/>
    </row>
    <row r="937" spans="9:9">
      <c r="I937" s="1"/>
    </row>
    <row r="938" spans="9:9">
      <c r="I938" s="1"/>
    </row>
    <row r="939" spans="9:9">
      <c r="I939" s="1"/>
    </row>
    <row r="940" spans="9:9">
      <c r="I940" s="1"/>
    </row>
    <row r="941" spans="9:9">
      <c r="I941" s="1"/>
    </row>
    <row r="942" spans="9:9">
      <c r="I942" s="1"/>
    </row>
    <row r="943" spans="9:9">
      <c r="I943" s="1"/>
    </row>
    <row r="944" spans="9:9">
      <c r="I944" s="1"/>
    </row>
    <row r="945" spans="9:9">
      <c r="I945" s="1"/>
    </row>
    <row r="946" spans="9:9">
      <c r="I946" s="1"/>
    </row>
    <row r="947" spans="9:9">
      <c r="I947" s="1"/>
    </row>
    <row r="948" spans="9:9">
      <c r="I948" s="1"/>
    </row>
    <row r="949" spans="9:9">
      <c r="I949" s="1"/>
    </row>
    <row r="950" spans="9:9">
      <c r="I950" s="1"/>
    </row>
    <row r="951" spans="9:9">
      <c r="I951" s="1"/>
    </row>
    <row r="952" spans="9:9">
      <c r="I952" s="1"/>
    </row>
    <row r="953" spans="9:9">
      <c r="I953" s="1"/>
    </row>
    <row r="954" spans="9:9">
      <c r="I954" s="1"/>
    </row>
    <row r="955" spans="9:9">
      <c r="I955" s="1"/>
    </row>
    <row r="956" spans="9:9">
      <c r="I956" s="1"/>
    </row>
    <row r="957" spans="9:9">
      <c r="I957" s="1"/>
    </row>
    <row r="958" spans="9:9">
      <c r="I958" s="1"/>
    </row>
    <row r="959" spans="9:9">
      <c r="I959" s="1"/>
    </row>
    <row r="960" spans="9:9">
      <c r="I960" s="1"/>
    </row>
    <row r="961" spans="9:9">
      <c r="I961" s="1"/>
    </row>
    <row r="962" spans="9:9">
      <c r="I962" s="1"/>
    </row>
    <row r="963" spans="9:9">
      <c r="I963" s="1"/>
    </row>
    <row r="964" spans="9:9">
      <c r="I964" s="1"/>
    </row>
    <row r="965" spans="9:9">
      <c r="I965" s="1"/>
    </row>
    <row r="966" spans="9:9">
      <c r="I966" s="1"/>
    </row>
    <row r="967" spans="9:9">
      <c r="I967" s="1"/>
    </row>
    <row r="968" spans="9:9">
      <c r="I968" s="1"/>
    </row>
    <row r="969" spans="9:9">
      <c r="I969" s="1"/>
    </row>
    <row r="970" spans="9:9">
      <c r="I970" s="1"/>
    </row>
    <row r="971" spans="9:9">
      <c r="I971" s="1"/>
    </row>
    <row r="972" spans="9:9">
      <c r="I972" s="1"/>
    </row>
    <row r="973" spans="9:9">
      <c r="I973" s="1"/>
    </row>
    <row r="974" spans="9:9">
      <c r="I974" s="1"/>
    </row>
    <row r="975" spans="9:9">
      <c r="I975" s="1"/>
    </row>
    <row r="976" spans="9:9">
      <c r="I976" s="1"/>
    </row>
    <row r="977" spans="9:9">
      <c r="I977" s="1"/>
    </row>
    <row r="978" spans="9:9">
      <c r="I978" s="1"/>
    </row>
    <row r="979" spans="9:9">
      <c r="I979" s="1"/>
    </row>
    <row r="980" spans="9:9">
      <c r="I980" s="1"/>
    </row>
    <row r="981" spans="9:9">
      <c r="I981" s="1"/>
    </row>
    <row r="982" spans="9:9">
      <c r="I982" s="1"/>
    </row>
    <row r="983" spans="9:9">
      <c r="I983" s="1"/>
    </row>
    <row r="984" spans="9:9">
      <c r="I984" s="1"/>
    </row>
    <row r="985" spans="9:9">
      <c r="I985" s="1"/>
    </row>
    <row r="986" spans="9:9">
      <c r="I986" s="1"/>
    </row>
    <row r="987" spans="9:9">
      <c r="I987" s="1"/>
    </row>
    <row r="988" spans="9:9">
      <c r="I988" s="1"/>
    </row>
    <row r="989" spans="9:9">
      <c r="I989" s="1"/>
    </row>
    <row r="990" spans="9:9">
      <c r="I990" s="1"/>
    </row>
    <row r="991" spans="9:9">
      <c r="I991" s="1"/>
    </row>
    <row r="992" spans="9:9">
      <c r="I992" s="1"/>
    </row>
    <row r="993" spans="9:9">
      <c r="I993" s="1"/>
    </row>
    <row r="994" spans="9:9">
      <c r="I994" s="1"/>
    </row>
    <row r="995" spans="9:9">
      <c r="I995" s="1"/>
    </row>
    <row r="996" spans="9:9">
      <c r="I996" s="1"/>
    </row>
    <row r="997" spans="9:9">
      <c r="I997" s="1"/>
    </row>
    <row r="998" spans="9:9">
      <c r="I998" s="1"/>
    </row>
    <row r="999" spans="9:9">
      <c r="I999" s="1"/>
    </row>
    <row r="1000" spans="9:9">
      <c r="I1000" s="1"/>
    </row>
    <row r="1001" spans="9:9">
      <c r="I1001" s="1"/>
    </row>
    <row r="1002" spans="9:9">
      <c r="I1002" s="1"/>
    </row>
    <row r="1003" spans="9:9">
      <c r="I1003" s="1"/>
    </row>
    <row r="1004" spans="9:9">
      <c r="I1004" s="1"/>
    </row>
    <row r="1005" spans="9:9">
      <c r="I1005" s="1"/>
    </row>
    <row r="1006" spans="9:9">
      <c r="I1006" s="1"/>
    </row>
    <row r="1007" spans="9:9">
      <c r="I1007" s="1"/>
    </row>
    <row r="1008" spans="9:9">
      <c r="I1008" s="1"/>
    </row>
    <row r="1009" spans="9:9">
      <c r="I1009" s="1"/>
    </row>
    <row r="1010" spans="9:9">
      <c r="I1010" s="1"/>
    </row>
    <row r="1011" spans="9:9">
      <c r="I1011" s="1"/>
    </row>
    <row r="1012" spans="9:9">
      <c r="I1012" s="1"/>
    </row>
    <row r="1013" spans="9:9">
      <c r="I1013" s="1"/>
    </row>
    <row r="1014" spans="9:9">
      <c r="I1014" s="1"/>
    </row>
    <row r="1015" spans="9:9">
      <c r="I1015" s="1"/>
    </row>
    <row r="1016" spans="9:9">
      <c r="I1016" s="1"/>
    </row>
    <row r="1017" spans="9:9">
      <c r="I1017" s="1"/>
    </row>
    <row r="1018" spans="9:9">
      <c r="I1018" s="1"/>
    </row>
    <row r="1019" spans="9:9">
      <c r="I1019" s="1"/>
    </row>
    <row r="1020" spans="9:9">
      <c r="I1020" s="1"/>
    </row>
    <row r="1021" spans="9:9">
      <c r="I1021" s="1"/>
    </row>
    <row r="1022" spans="9:9">
      <c r="I1022" s="1"/>
    </row>
    <row r="1023" spans="9:9">
      <c r="I1023" s="1"/>
    </row>
    <row r="1024" spans="9:9">
      <c r="I1024" s="1"/>
    </row>
    <row r="1025" spans="9:9">
      <c r="I1025" s="1"/>
    </row>
    <row r="1026" spans="9:9">
      <c r="I1026" s="1"/>
    </row>
    <row r="1027" spans="9:9">
      <c r="I1027" s="1"/>
    </row>
    <row r="1028" spans="9:9">
      <c r="I1028" s="1"/>
    </row>
    <row r="1029" spans="9:9">
      <c r="I1029" s="1"/>
    </row>
    <row r="1030" spans="9:9">
      <c r="I1030" s="1"/>
    </row>
    <row r="1031" spans="9:9">
      <c r="I1031" s="1"/>
    </row>
    <row r="1032" spans="9:9">
      <c r="I1032" s="1"/>
    </row>
    <row r="1033" spans="9:9">
      <c r="I1033" s="1"/>
    </row>
    <row r="1034" spans="9:9">
      <c r="I1034" s="1"/>
    </row>
    <row r="1035" spans="9:9">
      <c r="I1035" s="1"/>
    </row>
    <row r="1036" spans="9:9">
      <c r="I1036" s="1"/>
    </row>
    <row r="1037" spans="9:9">
      <c r="I1037" s="1"/>
    </row>
    <row r="1038" spans="9:9">
      <c r="I1038" s="1"/>
    </row>
    <row r="1039" spans="9:9">
      <c r="I1039" s="1"/>
    </row>
    <row r="1040" spans="9:9">
      <c r="I1040" s="1"/>
    </row>
    <row r="1041" spans="9:9">
      <c r="I1041" s="1"/>
    </row>
    <row r="1042" spans="9:9">
      <c r="I1042" s="1"/>
    </row>
    <row r="1043" spans="9:9">
      <c r="I1043" s="1"/>
    </row>
    <row r="1044" spans="9:9">
      <c r="I1044" s="1"/>
    </row>
    <row r="1045" spans="9:9">
      <c r="I1045" s="1"/>
    </row>
    <row r="1046" spans="9:9">
      <c r="I1046" s="1"/>
    </row>
    <row r="1047" spans="9:9">
      <c r="I1047" s="1"/>
    </row>
    <row r="1048" spans="9:9">
      <c r="I1048" s="1"/>
    </row>
    <row r="1049" spans="9:9">
      <c r="I1049" s="1"/>
    </row>
    <row r="1050" spans="9:9">
      <c r="I1050" s="1"/>
    </row>
    <row r="1051" spans="9:9">
      <c r="I1051" s="1"/>
    </row>
    <row r="1052" spans="9:9">
      <c r="I1052" s="1"/>
    </row>
    <row r="1053" spans="9:9">
      <c r="I1053" s="1"/>
    </row>
    <row r="1054" spans="9:9">
      <c r="I1054" s="1"/>
    </row>
    <row r="1055" spans="9:9">
      <c r="I1055" s="1"/>
    </row>
    <row r="1056" spans="9:9">
      <c r="I1056" s="1"/>
    </row>
    <row r="1057" spans="9:9">
      <c r="I1057" s="1"/>
    </row>
    <row r="1058" spans="9:9">
      <c r="I1058" s="1"/>
    </row>
    <row r="1059" spans="9:9">
      <c r="I1059" s="1"/>
    </row>
    <row r="1060" spans="9:9">
      <c r="I1060" s="1"/>
    </row>
    <row r="1061" spans="9:9">
      <c r="I1061" s="1"/>
    </row>
    <row r="1062" spans="9:9">
      <c r="I1062" s="1"/>
    </row>
    <row r="1063" spans="9:9">
      <c r="I1063" s="1"/>
    </row>
    <row r="1064" spans="9:9">
      <c r="I1064" s="1"/>
    </row>
    <row r="1065" spans="9:9">
      <c r="I1065" s="1"/>
    </row>
    <row r="1066" spans="9:9">
      <c r="I1066" s="1"/>
    </row>
    <row r="1067" spans="9:9">
      <c r="I1067" s="1"/>
    </row>
    <row r="1068" spans="9:9">
      <c r="I1068" s="1"/>
    </row>
    <row r="1069" spans="9:9">
      <c r="I1069" s="1"/>
    </row>
    <row r="1070" spans="9:9">
      <c r="I1070" s="1"/>
    </row>
    <row r="1071" spans="9:9">
      <c r="I1071" s="1"/>
    </row>
    <row r="1072" spans="9:9">
      <c r="I1072" s="1"/>
    </row>
    <row r="1073" spans="9:9">
      <c r="I1073" s="1"/>
    </row>
    <row r="1074" spans="9:9">
      <c r="I1074" s="1"/>
    </row>
    <row r="1075" spans="9:9">
      <c r="I1075" s="1"/>
    </row>
    <row r="1076" spans="9:9">
      <c r="I1076" s="1"/>
    </row>
    <row r="1077" spans="9:9">
      <c r="I1077" s="1"/>
    </row>
    <row r="1078" spans="9:9">
      <c r="I1078" s="1"/>
    </row>
    <row r="1079" spans="9:9">
      <c r="I1079" s="1"/>
    </row>
    <row r="1080" spans="9:9">
      <c r="I1080" s="1"/>
    </row>
    <row r="1081" spans="9:9">
      <c r="I1081" s="1"/>
    </row>
    <row r="1082" spans="9:9">
      <c r="I1082" s="1"/>
    </row>
    <row r="1083" spans="9:9">
      <c r="I1083" s="1"/>
    </row>
    <row r="1084" spans="9:9">
      <c r="I1084" s="1"/>
    </row>
    <row r="1085" spans="9:9">
      <c r="I1085" s="1"/>
    </row>
    <row r="1086" spans="9:9">
      <c r="I1086" s="1"/>
    </row>
    <row r="1087" spans="9:9">
      <c r="I1087" s="1"/>
    </row>
    <row r="1088" spans="9:9">
      <c r="I1088" s="1"/>
    </row>
    <row r="1089" spans="9:9">
      <c r="I1089" s="1"/>
    </row>
    <row r="1090" spans="9:9">
      <c r="I1090" s="1"/>
    </row>
    <row r="1091" spans="9:9">
      <c r="I1091" s="1"/>
    </row>
    <row r="1092" spans="9:9">
      <c r="I1092" s="1"/>
    </row>
    <row r="1093" spans="9:9">
      <c r="I1093" s="1"/>
    </row>
    <row r="1094" spans="9:9">
      <c r="I1094" s="1"/>
    </row>
    <row r="1095" spans="9:9">
      <c r="I1095" s="1"/>
    </row>
    <row r="1096" spans="9:9">
      <c r="I1096" s="1"/>
    </row>
    <row r="1097" spans="9:9">
      <c r="I1097" s="1"/>
    </row>
    <row r="1098" spans="9:9">
      <c r="I1098" s="1"/>
    </row>
    <row r="1099" spans="9:9">
      <c r="I1099" s="1"/>
    </row>
    <row r="1100" spans="9:9">
      <c r="I1100" s="1"/>
    </row>
    <row r="1101" spans="9:9">
      <c r="I1101" s="1"/>
    </row>
    <row r="1102" spans="9:9">
      <c r="I1102" s="1"/>
    </row>
    <row r="1103" spans="9:9">
      <c r="I1103" s="1"/>
    </row>
    <row r="1104" spans="9:9">
      <c r="I1104" s="1"/>
    </row>
    <row r="1105" spans="9:9">
      <c r="I1105" s="1"/>
    </row>
    <row r="1106" spans="9:9">
      <c r="I1106" s="1"/>
    </row>
    <row r="1107" spans="9:9">
      <c r="I1107" s="1"/>
    </row>
    <row r="1108" spans="9:9">
      <c r="I1108" s="1"/>
    </row>
    <row r="1109" spans="9:9">
      <c r="I1109" s="1"/>
    </row>
    <row r="1110" spans="9:9">
      <c r="I1110" s="1"/>
    </row>
    <row r="1111" spans="9:9">
      <c r="I1111" s="1"/>
    </row>
    <row r="1112" spans="9:9">
      <c r="I1112" s="1"/>
    </row>
    <row r="1113" spans="9:9">
      <c r="I1113" s="1"/>
    </row>
    <row r="1114" spans="9:9">
      <c r="I1114" s="1"/>
    </row>
    <row r="1115" spans="9:9">
      <c r="I1115" s="1"/>
    </row>
    <row r="1116" spans="9:9">
      <c r="I1116" s="1"/>
    </row>
    <row r="1117" spans="9:9">
      <c r="I1117" s="1"/>
    </row>
    <row r="1118" spans="9:9">
      <c r="I1118" s="1"/>
    </row>
    <row r="1119" spans="9:9">
      <c r="I1119" s="1"/>
    </row>
    <row r="1120" spans="9:9">
      <c r="I1120" s="1"/>
    </row>
    <row r="1121" spans="9:9">
      <c r="I1121" s="1"/>
    </row>
    <row r="1122" spans="9:9">
      <c r="I1122" s="1"/>
    </row>
    <row r="1123" spans="9:9">
      <c r="I1123" s="1"/>
    </row>
    <row r="1124" spans="9:9">
      <c r="I1124" s="1"/>
    </row>
    <row r="1125" spans="9:9">
      <c r="I1125" s="1"/>
    </row>
    <row r="1126" spans="9:9">
      <c r="I1126" s="1"/>
    </row>
    <row r="1127" spans="9:9">
      <c r="I1127" s="1"/>
    </row>
    <row r="1128" spans="9:9">
      <c r="I1128" s="1"/>
    </row>
    <row r="1129" spans="9:9">
      <c r="I1129" s="1"/>
    </row>
    <row r="1130" spans="9:9">
      <c r="I1130" s="1"/>
    </row>
    <row r="1131" spans="9:9">
      <c r="I1131" s="1"/>
    </row>
    <row r="1132" spans="9:9">
      <c r="I1132" s="1"/>
    </row>
    <row r="1133" spans="9:9">
      <c r="I1133" s="1"/>
    </row>
    <row r="1134" spans="9:9">
      <c r="I1134" s="1"/>
    </row>
    <row r="1135" spans="9:9">
      <c r="I1135" s="1"/>
    </row>
    <row r="1136" spans="9:9">
      <c r="I1136" s="1"/>
    </row>
    <row r="1137" spans="9:9">
      <c r="I1137" s="1"/>
    </row>
    <row r="1138" spans="9:9">
      <c r="I1138" s="1"/>
    </row>
    <row r="1139" spans="9:9">
      <c r="I1139" s="1"/>
    </row>
    <row r="1140" spans="9:9">
      <c r="I1140" s="1"/>
    </row>
    <row r="1141" spans="9:9">
      <c r="I1141" s="1"/>
    </row>
    <row r="1142" spans="9:9">
      <c r="I1142" s="1"/>
    </row>
    <row r="1143" spans="9:9">
      <c r="I1143" s="1"/>
    </row>
    <row r="1144" spans="9:9">
      <c r="I1144" s="1"/>
    </row>
    <row r="1145" spans="9:9">
      <c r="I1145" s="1"/>
    </row>
    <row r="1146" spans="9:9">
      <c r="I1146" s="1"/>
    </row>
    <row r="1147" spans="9:9">
      <c r="I1147" s="1"/>
    </row>
    <row r="1148" spans="9:9">
      <c r="I1148" s="1"/>
    </row>
    <row r="1149" spans="9:9">
      <c r="I1149" s="1"/>
    </row>
    <row r="1150" spans="9:9">
      <c r="I1150" s="1"/>
    </row>
    <row r="1151" spans="9:9">
      <c r="I1151" s="1"/>
    </row>
    <row r="1152" spans="9:9">
      <c r="I1152" s="1"/>
    </row>
    <row r="1153" spans="9:9">
      <c r="I1153" s="1"/>
    </row>
    <row r="1154" spans="9:9">
      <c r="I1154" s="1"/>
    </row>
    <row r="1155" spans="9:9">
      <c r="I1155" s="1"/>
    </row>
    <row r="1156" spans="9:9">
      <c r="I1156" s="1"/>
    </row>
    <row r="1157" spans="9:9">
      <c r="I1157" s="1"/>
    </row>
    <row r="1158" spans="9:9">
      <c r="I1158" s="1"/>
    </row>
    <row r="1159" spans="9:9">
      <c r="I1159" s="1"/>
    </row>
    <row r="1160" spans="9:9">
      <c r="I1160" s="1"/>
    </row>
    <row r="1161" spans="9:9">
      <c r="I1161" s="1"/>
    </row>
    <row r="1162" spans="9:9">
      <c r="I1162" s="1"/>
    </row>
    <row r="1163" spans="9:9">
      <c r="I1163" s="1"/>
    </row>
    <row r="1164" spans="9:9">
      <c r="I1164" s="1"/>
    </row>
    <row r="1165" spans="9:9">
      <c r="I1165" s="1"/>
    </row>
    <row r="1166" spans="9:9">
      <c r="I1166" s="1"/>
    </row>
    <row r="1167" spans="9:9">
      <c r="I1167" s="1"/>
    </row>
    <row r="1168" spans="9:9">
      <c r="I1168" s="1"/>
    </row>
    <row r="1169" spans="9:9">
      <c r="I1169" s="1"/>
    </row>
    <row r="1170" spans="9:9">
      <c r="I1170" s="1"/>
    </row>
    <row r="1171" spans="9:9">
      <c r="I1171" s="1"/>
    </row>
    <row r="1172" spans="9:9">
      <c r="I1172" s="1"/>
    </row>
    <row r="1173" spans="9:9">
      <c r="I1173" s="1"/>
    </row>
    <row r="1174" spans="9:9">
      <c r="I1174" s="1"/>
    </row>
    <row r="1175" spans="9:9">
      <c r="I1175" s="1"/>
    </row>
    <row r="1176" spans="9:9">
      <c r="I1176" s="1"/>
    </row>
    <row r="1177" spans="9:9">
      <c r="I1177" s="1"/>
    </row>
    <row r="1178" spans="9:9">
      <c r="I1178" s="1"/>
    </row>
    <row r="1179" spans="9:9">
      <c r="I1179" s="1"/>
    </row>
    <row r="1180" spans="9:9">
      <c r="I1180" s="1"/>
    </row>
    <row r="1181" spans="9:9">
      <c r="I1181" s="1"/>
    </row>
    <row r="1182" spans="9:9">
      <c r="I1182" s="1"/>
    </row>
    <row r="1183" spans="9:9">
      <c r="I1183" s="1"/>
    </row>
    <row r="1184" spans="9:9">
      <c r="I1184" s="1"/>
    </row>
    <row r="1185" spans="9:9">
      <c r="I1185" s="1"/>
    </row>
    <row r="1186" spans="9:9">
      <c r="I1186" s="1"/>
    </row>
    <row r="1187" spans="9:9">
      <c r="I1187" s="1"/>
    </row>
    <row r="1188" spans="9:9">
      <c r="I1188" s="1"/>
    </row>
    <row r="1189" spans="9:9">
      <c r="I1189" s="1"/>
    </row>
    <row r="1190" spans="9:9">
      <c r="I1190" s="1"/>
    </row>
    <row r="1191" spans="9:9">
      <c r="I1191" s="1"/>
    </row>
    <row r="1192" spans="9:9">
      <c r="I1192" s="1"/>
    </row>
    <row r="1193" spans="9:9">
      <c r="I1193" s="1"/>
    </row>
    <row r="1194" spans="9:9">
      <c r="I1194" s="1"/>
    </row>
    <row r="1195" spans="9:9">
      <c r="I1195" s="1"/>
    </row>
    <row r="1196" spans="9:9">
      <c r="I1196" s="1"/>
    </row>
    <row r="1197" spans="9:9">
      <c r="I1197" s="1"/>
    </row>
    <row r="1198" spans="9:9">
      <c r="I1198" s="1"/>
    </row>
    <row r="1199" spans="9:9">
      <c r="I1199" s="1"/>
    </row>
    <row r="1200" spans="9:9">
      <c r="I1200" s="1"/>
    </row>
    <row r="1201" spans="9:9">
      <c r="I1201" s="1"/>
    </row>
    <row r="1202" spans="9:9">
      <c r="I1202" s="1"/>
    </row>
    <row r="1203" spans="9:9">
      <c r="I1203" s="1"/>
    </row>
    <row r="1204" spans="9:9">
      <c r="I1204" s="1"/>
    </row>
    <row r="1205" spans="9:9">
      <c r="I1205" s="1"/>
    </row>
    <row r="1206" spans="9:9">
      <c r="I1206" s="1"/>
    </row>
    <row r="1207" spans="9:9">
      <c r="I1207" s="1"/>
    </row>
    <row r="1208" spans="9:9">
      <c r="I1208" s="1"/>
    </row>
    <row r="1209" spans="9:9">
      <c r="I1209" s="1"/>
    </row>
    <row r="1210" spans="9:9">
      <c r="I1210" s="1"/>
    </row>
    <row r="1211" spans="9:9">
      <c r="I1211" s="1"/>
    </row>
    <row r="1212" spans="9:9">
      <c r="I1212" s="1"/>
    </row>
    <row r="1213" spans="9:9">
      <c r="I1213" s="1"/>
    </row>
    <row r="1214" spans="9:9">
      <c r="I1214" s="1"/>
    </row>
    <row r="1215" spans="9:9">
      <c r="I1215" s="1"/>
    </row>
    <row r="1216" spans="9:9">
      <c r="I1216" s="1"/>
    </row>
    <row r="1217" spans="9:9">
      <c r="I1217" s="1"/>
    </row>
    <row r="1218" spans="9:9">
      <c r="I1218" s="1"/>
    </row>
    <row r="1219" spans="9:9">
      <c r="I1219" s="1"/>
    </row>
    <row r="1220" spans="9:9">
      <c r="I1220" s="1"/>
    </row>
    <row r="1221" spans="9:9">
      <c r="I1221" s="1"/>
    </row>
    <row r="1222" spans="9:9">
      <c r="I1222" s="1"/>
    </row>
    <row r="1223" spans="9:9">
      <c r="I1223" s="1"/>
    </row>
    <row r="1224" spans="9:9">
      <c r="I1224" s="1"/>
    </row>
    <row r="1225" spans="9:9">
      <c r="I1225" s="1"/>
    </row>
    <row r="1226" spans="9:9">
      <c r="I1226" s="1"/>
    </row>
    <row r="1227" spans="9:9">
      <c r="I1227" s="1"/>
    </row>
    <row r="1228" spans="9:9">
      <c r="I1228" s="1"/>
    </row>
    <row r="1229" spans="9:9">
      <c r="I1229" s="1"/>
    </row>
    <row r="1230" spans="9:9">
      <c r="I1230" s="1"/>
    </row>
    <row r="1231" spans="9:9">
      <c r="I1231" s="1"/>
    </row>
    <row r="1232" spans="9:9">
      <c r="I1232" s="1"/>
    </row>
    <row r="1233" spans="9:9">
      <c r="I1233" s="1"/>
    </row>
    <row r="1234" spans="9:9">
      <c r="I1234" s="1"/>
    </row>
    <row r="1235" spans="9:9">
      <c r="I1235" s="1"/>
    </row>
    <row r="1236" spans="9:9">
      <c r="I1236" s="1"/>
    </row>
    <row r="1237" spans="9:9">
      <c r="I1237" s="1"/>
    </row>
    <row r="1238" spans="9:9">
      <c r="I1238" s="1"/>
    </row>
    <row r="1239" spans="9:9">
      <c r="I1239" s="1"/>
    </row>
    <row r="1240" spans="9:9">
      <c r="I1240" s="1"/>
    </row>
    <row r="1241" spans="9:9">
      <c r="I1241" s="1"/>
    </row>
    <row r="1242" spans="9:9">
      <c r="I1242" s="1"/>
    </row>
    <row r="1243" spans="9:9">
      <c r="I1243" s="1"/>
    </row>
    <row r="1244" spans="9:9">
      <c r="I1244" s="1"/>
    </row>
    <row r="1245" spans="9:9">
      <c r="I1245" s="1"/>
    </row>
    <row r="1246" spans="9:9">
      <c r="I1246" s="1"/>
    </row>
    <row r="1247" spans="9:9">
      <c r="I1247" s="1"/>
    </row>
    <row r="1248" spans="9:9">
      <c r="I1248" s="1"/>
    </row>
    <row r="1249" spans="9:9">
      <c r="I1249" s="1"/>
    </row>
    <row r="1250" spans="9:9">
      <c r="I1250" s="1"/>
    </row>
    <row r="1251" spans="9:9">
      <c r="I1251" s="1"/>
    </row>
    <row r="1252" spans="9:9">
      <c r="I1252" s="1"/>
    </row>
    <row r="1253" spans="9:9">
      <c r="I1253" s="1"/>
    </row>
    <row r="1254" spans="9:9">
      <c r="I1254" s="1"/>
    </row>
    <row r="1255" spans="9:9">
      <c r="I1255" s="1"/>
    </row>
    <row r="1256" spans="9:9">
      <c r="I1256" s="1"/>
    </row>
    <row r="1257" spans="9:9">
      <c r="I1257" s="1"/>
    </row>
    <row r="1258" spans="9:9">
      <c r="I1258" s="1"/>
    </row>
    <row r="1259" spans="9:9">
      <c r="I1259" s="1"/>
    </row>
    <row r="1260" spans="9:9">
      <c r="I1260" s="1"/>
    </row>
    <row r="1261" spans="9:9">
      <c r="I1261" s="1"/>
    </row>
    <row r="1262" spans="9:9">
      <c r="I1262" s="1"/>
    </row>
    <row r="1263" spans="9:9">
      <c r="I1263" s="1"/>
    </row>
    <row r="1264" spans="9:9">
      <c r="I1264" s="1"/>
    </row>
    <row r="1265" spans="9:9">
      <c r="I1265" s="1"/>
    </row>
    <row r="1266" spans="9:9">
      <c r="I1266" s="1"/>
    </row>
    <row r="1267" spans="9:9">
      <c r="I1267" s="1"/>
    </row>
    <row r="1268" spans="9:9">
      <c r="I1268" s="1"/>
    </row>
    <row r="1269" spans="9:9">
      <c r="I1269" s="1"/>
    </row>
    <row r="1270" spans="9:9">
      <c r="I1270" s="1"/>
    </row>
    <row r="1271" spans="9:9">
      <c r="I1271" s="1"/>
    </row>
    <row r="1272" spans="9:9">
      <c r="I1272" s="1"/>
    </row>
    <row r="1273" spans="9:9">
      <c r="I1273" s="1"/>
    </row>
    <row r="1274" spans="9:9">
      <c r="I1274" s="1"/>
    </row>
    <row r="1275" spans="9:9">
      <c r="I1275" s="1"/>
    </row>
    <row r="1276" spans="9:9">
      <c r="I1276" s="1"/>
    </row>
    <row r="1277" spans="9:9">
      <c r="I1277" s="1"/>
    </row>
    <row r="1278" spans="9:9">
      <c r="I1278" s="1"/>
    </row>
    <row r="1279" spans="9:9">
      <c r="I1279" s="1"/>
    </row>
    <row r="1280" spans="9:9">
      <c r="I1280" s="1"/>
    </row>
    <row r="1281" spans="9:9">
      <c r="I1281" s="1"/>
    </row>
    <row r="1282" spans="9:9">
      <c r="I1282" s="1"/>
    </row>
    <row r="1283" spans="9:9">
      <c r="I1283" s="1"/>
    </row>
    <row r="1284" spans="9:9">
      <c r="I1284" s="1"/>
    </row>
    <row r="1285" spans="9:9">
      <c r="I1285" s="1"/>
    </row>
    <row r="1286" spans="9:9">
      <c r="I1286" s="1"/>
    </row>
    <row r="1287" spans="9:9">
      <c r="I1287" s="1"/>
    </row>
    <row r="1288" spans="9:9">
      <c r="I1288" s="1"/>
    </row>
    <row r="1289" spans="9:9">
      <c r="I1289" s="1"/>
    </row>
    <row r="1290" spans="9:9">
      <c r="I1290" s="1"/>
    </row>
    <row r="1291" spans="9:9">
      <c r="I1291" s="1"/>
    </row>
    <row r="1292" spans="9:9">
      <c r="I1292" s="1"/>
    </row>
    <row r="1293" spans="9:9">
      <c r="I1293" s="1"/>
    </row>
    <row r="1294" spans="9:9">
      <c r="I1294" s="1"/>
    </row>
    <row r="1295" spans="9:9">
      <c r="I1295" s="1"/>
    </row>
    <row r="1296" spans="9:9">
      <c r="I1296" s="1"/>
    </row>
    <row r="1297" spans="9:9">
      <c r="I1297" s="1"/>
    </row>
    <row r="1298" spans="9:9">
      <c r="I1298" s="1"/>
    </row>
    <row r="1299" spans="9:9">
      <c r="I1299" s="1"/>
    </row>
    <row r="1300" spans="9:9">
      <c r="I1300" s="1"/>
    </row>
    <row r="1301" spans="9:9">
      <c r="I1301" s="1"/>
    </row>
    <row r="1302" spans="9:9">
      <c r="I1302" s="1"/>
    </row>
    <row r="1303" spans="9:9">
      <c r="I1303" s="1"/>
    </row>
    <row r="1304" spans="9:9">
      <c r="I1304" s="1"/>
    </row>
    <row r="1305" spans="9:9">
      <c r="I1305" s="1"/>
    </row>
    <row r="1306" spans="9:9">
      <c r="I1306" s="1"/>
    </row>
    <row r="1307" spans="9:9">
      <c r="I1307" s="1"/>
    </row>
    <row r="1308" spans="9:9">
      <c r="I1308" s="1"/>
    </row>
    <row r="1309" spans="9:9">
      <c r="I1309" s="1"/>
    </row>
    <row r="1310" spans="9:9">
      <c r="I1310" s="1"/>
    </row>
    <row r="1311" spans="9:9">
      <c r="I1311" s="1"/>
    </row>
    <row r="1312" spans="9:9">
      <c r="I1312" s="1"/>
    </row>
    <row r="1313" spans="9:9">
      <c r="I1313" s="1"/>
    </row>
    <row r="1314" spans="9:9">
      <c r="I1314" s="1"/>
    </row>
    <row r="1315" spans="9:9">
      <c r="I1315" s="1"/>
    </row>
    <row r="1316" spans="9:9">
      <c r="I1316" s="1"/>
    </row>
    <row r="1317" spans="9:9">
      <c r="I1317" s="1"/>
    </row>
    <row r="1318" spans="9:9">
      <c r="I1318" s="1"/>
    </row>
    <row r="1319" spans="9:9">
      <c r="I1319" s="1"/>
    </row>
    <row r="1320" spans="9:9">
      <c r="I1320" s="1"/>
    </row>
    <row r="1321" spans="9:9">
      <c r="I1321" s="1"/>
    </row>
    <row r="1322" spans="9:9">
      <c r="I1322" s="1"/>
    </row>
    <row r="1323" spans="9:9">
      <c r="I1323" s="1"/>
    </row>
    <row r="1324" spans="9:9">
      <c r="I1324" s="1"/>
    </row>
    <row r="1325" spans="9:9">
      <c r="I1325" s="1"/>
    </row>
    <row r="1326" spans="9:9">
      <c r="I1326" s="1"/>
    </row>
    <row r="1327" spans="9:9">
      <c r="I1327" s="1"/>
    </row>
    <row r="1328" spans="9:9">
      <c r="I1328" s="1"/>
    </row>
    <row r="1329" spans="9:9">
      <c r="I1329" s="1"/>
    </row>
    <row r="1330" spans="9:9">
      <c r="I1330" s="1"/>
    </row>
    <row r="1331" spans="9:9">
      <c r="I1331" s="1"/>
    </row>
    <row r="1332" spans="9:9">
      <c r="I1332" s="1"/>
    </row>
    <row r="1333" spans="9:9">
      <c r="I1333" s="1"/>
    </row>
    <row r="1334" spans="9:9">
      <c r="I1334" s="1"/>
    </row>
    <row r="1335" spans="9:9">
      <c r="I1335" s="1"/>
    </row>
    <row r="1336" spans="9:9">
      <c r="I1336" s="1"/>
    </row>
    <row r="1337" spans="9:9">
      <c r="I1337" s="1"/>
    </row>
    <row r="1338" spans="9:9">
      <c r="I1338" s="1"/>
    </row>
    <row r="1339" spans="9:9">
      <c r="I1339" s="1"/>
    </row>
    <row r="1340" spans="9:9">
      <c r="I1340" s="1"/>
    </row>
    <row r="1341" spans="9:9">
      <c r="I1341" s="1"/>
    </row>
    <row r="1342" spans="9:9">
      <c r="I1342" s="1"/>
    </row>
    <row r="1343" spans="9:9">
      <c r="I1343" s="1"/>
    </row>
    <row r="1344" spans="9:9">
      <c r="I1344" s="1"/>
    </row>
    <row r="1345" spans="9:9">
      <c r="I1345" s="1"/>
    </row>
    <row r="1346" spans="9:9">
      <c r="I1346" s="1"/>
    </row>
    <row r="1347" spans="9:9">
      <c r="I1347" s="1"/>
    </row>
    <row r="1348" spans="9:9">
      <c r="I1348" s="1"/>
    </row>
    <row r="1349" spans="9:9">
      <c r="I1349" s="1"/>
    </row>
    <row r="1350" spans="9:9">
      <c r="I1350" s="1"/>
    </row>
    <row r="1351" spans="9:9">
      <c r="I1351" s="1"/>
    </row>
    <row r="1352" spans="9:9">
      <c r="I1352" s="1"/>
    </row>
    <row r="1353" spans="9:9">
      <c r="I1353" s="1"/>
    </row>
    <row r="1354" spans="9:9">
      <c r="I1354" s="1"/>
    </row>
    <row r="1355" spans="9:9">
      <c r="I1355" s="1"/>
    </row>
    <row r="1356" spans="9:9">
      <c r="I1356" s="1"/>
    </row>
    <row r="1357" spans="9:9">
      <c r="I1357" s="1"/>
    </row>
    <row r="1358" spans="9:9">
      <c r="I1358" s="1"/>
    </row>
    <row r="1359" spans="9:9">
      <c r="I1359" s="1"/>
    </row>
    <row r="1360" spans="9:9">
      <c r="I1360" s="1"/>
    </row>
    <row r="1361" spans="9:9">
      <c r="I1361" s="1"/>
    </row>
    <row r="1362" spans="9:9">
      <c r="I1362" s="1"/>
    </row>
    <row r="1363" spans="9:9">
      <c r="I1363" s="1"/>
    </row>
    <row r="1364" spans="9:9">
      <c r="I1364" s="1"/>
    </row>
    <row r="1365" spans="9:9">
      <c r="I1365" s="1"/>
    </row>
    <row r="1366" spans="9:9">
      <c r="I1366" s="1"/>
    </row>
    <row r="1367" spans="9:9">
      <c r="I1367" s="1"/>
    </row>
    <row r="1368" spans="9:9">
      <c r="I1368" s="1"/>
    </row>
    <row r="1369" spans="9:9">
      <c r="I1369" s="1"/>
    </row>
    <row r="1370" spans="9:9">
      <c r="I1370" s="1"/>
    </row>
    <row r="1371" spans="9:9">
      <c r="I1371" s="1"/>
    </row>
    <row r="1372" spans="9:9">
      <c r="I1372" s="1"/>
    </row>
    <row r="1373" spans="9:9">
      <c r="I1373" s="1"/>
    </row>
    <row r="1374" spans="9:9">
      <c r="I1374" s="1"/>
    </row>
    <row r="1375" spans="9:9">
      <c r="I1375" s="1"/>
    </row>
    <row r="1376" spans="9:9">
      <c r="I1376" s="1"/>
    </row>
    <row r="1377" spans="9:9">
      <c r="I1377" s="1"/>
    </row>
    <row r="1378" spans="9:9">
      <c r="I1378" s="1"/>
    </row>
    <row r="1379" spans="9:9">
      <c r="I1379" s="1"/>
    </row>
    <row r="1380" spans="9:9">
      <c r="I1380" s="1"/>
    </row>
    <row r="1381" spans="9:9">
      <c r="I1381" s="1"/>
    </row>
    <row r="1382" spans="9:9">
      <c r="I1382" s="1"/>
    </row>
    <row r="1383" spans="9:9">
      <c r="I1383" s="1"/>
    </row>
    <row r="1384" spans="9:9">
      <c r="I1384" s="1"/>
    </row>
    <row r="1385" spans="9:9">
      <c r="I1385" s="1"/>
    </row>
    <row r="1386" spans="9:9">
      <c r="I1386" s="1"/>
    </row>
    <row r="1387" spans="9:9">
      <c r="I1387" s="1"/>
    </row>
    <row r="1388" spans="9:9">
      <c r="I1388" s="1"/>
    </row>
    <row r="1389" spans="9:9">
      <c r="I1389" s="1"/>
    </row>
    <row r="1390" spans="9:9">
      <c r="I1390" s="1"/>
    </row>
    <row r="1391" spans="9:9">
      <c r="I1391" s="1"/>
    </row>
    <row r="1392" spans="9:9">
      <c r="I1392" s="1"/>
    </row>
    <row r="1393" spans="9:9">
      <c r="I1393" s="1"/>
    </row>
    <row r="1394" spans="9:9">
      <c r="I1394" s="1"/>
    </row>
    <row r="1395" spans="9:9">
      <c r="I1395" s="1"/>
    </row>
    <row r="1396" spans="9:9">
      <c r="I1396" s="1"/>
    </row>
    <row r="1397" spans="9:9">
      <c r="I1397" s="1"/>
    </row>
    <row r="1398" spans="9:9">
      <c r="I1398" s="1"/>
    </row>
    <row r="1399" spans="9:9">
      <c r="I1399" s="1"/>
    </row>
    <row r="1400" spans="9:9">
      <c r="I1400" s="1"/>
    </row>
    <row r="1401" spans="9:9">
      <c r="I1401" s="1"/>
    </row>
    <row r="1402" spans="9:9">
      <c r="I1402" s="1"/>
    </row>
    <row r="1403" spans="9:9">
      <c r="I1403" s="1"/>
    </row>
    <row r="1404" spans="9:9">
      <c r="I1404" s="1"/>
    </row>
    <row r="1405" spans="9:9">
      <c r="I1405" s="1"/>
    </row>
    <row r="1406" spans="9:9">
      <c r="I1406" s="1"/>
    </row>
    <row r="1407" spans="9:9">
      <c r="I1407" s="1"/>
    </row>
    <row r="1408" spans="9:9">
      <c r="I1408" s="1"/>
    </row>
    <row r="1409" spans="9:9">
      <c r="I1409" s="1"/>
    </row>
    <row r="1410" spans="9:9">
      <c r="I1410" s="1"/>
    </row>
    <row r="1411" spans="9:9">
      <c r="I1411" s="1"/>
    </row>
    <row r="1412" spans="9:9">
      <c r="I1412" s="1"/>
    </row>
    <row r="1413" spans="9:9">
      <c r="I1413" s="1"/>
    </row>
    <row r="1414" spans="9:9">
      <c r="I1414" s="1"/>
    </row>
    <row r="1415" spans="9:9">
      <c r="I1415" s="1"/>
    </row>
    <row r="1416" spans="9:9">
      <c r="I1416" s="1"/>
    </row>
    <row r="1417" spans="9:9">
      <c r="I1417" s="1"/>
    </row>
    <row r="1418" spans="9:9">
      <c r="I1418" s="1"/>
    </row>
    <row r="1419" spans="9:9">
      <c r="I1419" s="1"/>
    </row>
    <row r="1420" spans="9:9">
      <c r="I1420" s="1"/>
    </row>
    <row r="1421" spans="9:9">
      <c r="I1421" s="1"/>
    </row>
    <row r="1422" spans="9:9">
      <c r="I1422" s="1"/>
    </row>
    <row r="1423" spans="9:9">
      <c r="I1423" s="1"/>
    </row>
    <row r="1424" spans="9:9">
      <c r="I1424" s="1"/>
    </row>
    <row r="1425" spans="9:9">
      <c r="I1425" s="1"/>
    </row>
    <row r="1426" spans="9:9">
      <c r="I1426" s="1"/>
    </row>
    <row r="1427" spans="9:9">
      <c r="I1427" s="1"/>
    </row>
    <row r="1428" spans="9:9">
      <c r="I1428" s="1"/>
    </row>
    <row r="1429" spans="9:9">
      <c r="I1429" s="1"/>
    </row>
    <row r="1430" spans="9:9">
      <c r="I1430" s="1"/>
    </row>
    <row r="1431" spans="9:9">
      <c r="I1431" s="1"/>
    </row>
    <row r="1432" spans="9:9">
      <c r="I1432" s="1"/>
    </row>
    <row r="1433" spans="9:9">
      <c r="I1433" s="1"/>
    </row>
    <row r="1434" spans="9:9">
      <c r="I1434" s="1"/>
    </row>
    <row r="1435" spans="9:9">
      <c r="I1435" s="1"/>
    </row>
    <row r="1436" spans="9:9">
      <c r="I1436" s="1"/>
    </row>
    <row r="1437" spans="9:9">
      <c r="I1437" s="1"/>
    </row>
    <row r="1438" spans="9:9">
      <c r="I1438" s="1"/>
    </row>
    <row r="1439" spans="9:9">
      <c r="I1439" s="1"/>
    </row>
    <row r="1440" spans="9:9">
      <c r="I1440" s="1"/>
    </row>
    <row r="1441" spans="9:9">
      <c r="I1441" s="1"/>
    </row>
    <row r="1442" spans="9:9">
      <c r="I1442" s="1"/>
    </row>
    <row r="1443" spans="9:9">
      <c r="I1443" s="1"/>
    </row>
    <row r="1444" spans="9:9">
      <c r="I1444" s="1"/>
    </row>
    <row r="1445" spans="9:9">
      <c r="I1445" s="1"/>
    </row>
    <row r="1446" spans="9:9">
      <c r="I1446" s="1"/>
    </row>
    <row r="1447" spans="9:9">
      <c r="I1447" s="1"/>
    </row>
    <row r="1448" spans="9:9">
      <c r="I1448" s="1"/>
    </row>
    <row r="1449" spans="9:9">
      <c r="I1449" s="1"/>
    </row>
    <row r="1450" spans="9:9">
      <c r="I1450" s="1"/>
    </row>
    <row r="1451" spans="9:9">
      <c r="I1451" s="1"/>
    </row>
    <row r="1452" spans="9:9">
      <c r="I1452" s="1"/>
    </row>
    <row r="1453" spans="9:9">
      <c r="I1453" s="1"/>
    </row>
    <row r="1454" spans="9:9">
      <c r="I1454" s="1"/>
    </row>
    <row r="1455" spans="9:9">
      <c r="I1455" s="1"/>
    </row>
    <row r="1456" spans="9:9">
      <c r="I1456" s="1"/>
    </row>
    <row r="1457" spans="9:9">
      <c r="I1457" s="1"/>
    </row>
    <row r="1458" spans="9:9">
      <c r="I1458" s="1"/>
    </row>
    <row r="1459" spans="9:9">
      <c r="I1459" s="1"/>
    </row>
    <row r="1460" spans="9:9">
      <c r="I1460" s="1"/>
    </row>
    <row r="1461" spans="9:9">
      <c r="I1461" s="1"/>
    </row>
    <row r="1462" spans="9:9">
      <c r="I1462" s="1"/>
    </row>
    <row r="1463" spans="9:9">
      <c r="I1463" s="1"/>
    </row>
    <row r="1464" spans="9:9">
      <c r="I1464" s="1"/>
    </row>
    <row r="1465" spans="9:9">
      <c r="I1465" s="1"/>
    </row>
    <row r="1466" spans="9:9">
      <c r="I1466" s="1"/>
    </row>
    <row r="1467" spans="9:9">
      <c r="I1467" s="1"/>
    </row>
    <row r="1468" spans="9:9">
      <c r="I1468" s="1"/>
    </row>
    <row r="1469" spans="9:9">
      <c r="I1469" s="1"/>
    </row>
    <row r="1470" spans="9:9">
      <c r="I1470" s="1"/>
    </row>
    <row r="1471" spans="9:9">
      <c r="I1471" s="1"/>
    </row>
    <row r="1472" spans="9:9">
      <c r="I1472" s="1"/>
    </row>
    <row r="1473" spans="9:9">
      <c r="I1473" s="1"/>
    </row>
    <row r="1474" spans="9:9">
      <c r="I1474" s="1"/>
    </row>
    <row r="1475" spans="9:9">
      <c r="I1475" s="1"/>
    </row>
    <row r="1476" spans="9:9">
      <c r="I1476" s="1"/>
    </row>
    <row r="1477" spans="9:9">
      <c r="I1477" s="1"/>
    </row>
    <row r="1478" spans="9:9">
      <c r="I1478" s="1"/>
    </row>
    <row r="1479" spans="9:9">
      <c r="I1479" s="1"/>
    </row>
    <row r="1480" spans="9:9">
      <c r="I1480" s="1"/>
    </row>
    <row r="1481" spans="9:9">
      <c r="I1481" s="1"/>
    </row>
    <row r="1482" spans="9:9">
      <c r="I1482" s="1"/>
    </row>
    <row r="1483" spans="9:9">
      <c r="I1483" s="1"/>
    </row>
    <row r="1484" spans="9:9">
      <c r="I1484" s="1"/>
    </row>
    <row r="1485" spans="9:9">
      <c r="I1485" s="1"/>
    </row>
    <row r="1486" spans="9:9">
      <c r="I1486" s="1"/>
    </row>
    <row r="1487" spans="9:9">
      <c r="I1487" s="1"/>
    </row>
    <row r="1488" spans="9:9">
      <c r="I1488" s="1"/>
    </row>
    <row r="1489" spans="9:9">
      <c r="I1489" s="1"/>
    </row>
    <row r="1490" spans="9:9">
      <c r="I1490" s="1"/>
    </row>
    <row r="1491" spans="9:9">
      <c r="I1491" s="1"/>
    </row>
    <row r="1492" spans="9:9">
      <c r="I1492" s="1"/>
    </row>
    <row r="1493" spans="9:9">
      <c r="I1493" s="1"/>
    </row>
    <row r="1494" spans="9:9">
      <c r="I1494" s="1"/>
    </row>
    <row r="1495" spans="9:9">
      <c r="I1495" s="1"/>
    </row>
    <row r="1496" spans="9:9">
      <c r="I1496" s="1"/>
    </row>
    <row r="1497" spans="9:9">
      <c r="I1497" s="1"/>
    </row>
    <row r="1498" spans="9:9">
      <c r="I1498" s="1"/>
    </row>
    <row r="1499" spans="9:9">
      <c r="I1499" s="1"/>
    </row>
    <row r="1500" spans="9:9">
      <c r="I1500" s="1"/>
    </row>
    <row r="1501" spans="9:9">
      <c r="I1501" s="1"/>
    </row>
    <row r="1502" spans="9:9">
      <c r="I1502" s="1"/>
    </row>
    <row r="1503" spans="9:9">
      <c r="I1503" s="1"/>
    </row>
    <row r="1504" spans="9:9">
      <c r="I1504" s="1"/>
    </row>
    <row r="1505" spans="9:9">
      <c r="I1505" s="1"/>
    </row>
    <row r="1506" spans="9:9">
      <c r="I1506" s="1"/>
    </row>
    <row r="1507" spans="9:9">
      <c r="I1507" s="1"/>
    </row>
    <row r="1508" spans="9:9">
      <c r="I1508" s="1"/>
    </row>
    <row r="1509" spans="9:9">
      <c r="I1509" s="1"/>
    </row>
    <row r="1510" spans="9:9">
      <c r="I1510" s="1"/>
    </row>
    <row r="1511" spans="9:9">
      <c r="I1511" s="1"/>
    </row>
    <row r="1512" spans="9:9">
      <c r="I1512" s="1"/>
    </row>
    <row r="1513" spans="9:9">
      <c r="I1513" s="1"/>
    </row>
    <row r="1514" spans="9:9">
      <c r="I1514" s="1"/>
    </row>
    <row r="1515" spans="9:9">
      <c r="I1515" s="1"/>
    </row>
    <row r="1516" spans="9:9">
      <c r="I1516" s="1"/>
    </row>
    <row r="1517" spans="9:9">
      <c r="I1517" s="1"/>
    </row>
    <row r="1518" spans="9:9">
      <c r="I1518" s="1"/>
    </row>
    <row r="1519" spans="9:9">
      <c r="I1519" s="1"/>
    </row>
    <row r="1520" spans="9:9">
      <c r="I1520" s="1"/>
    </row>
    <row r="1521" spans="9:9">
      <c r="I1521" s="1"/>
    </row>
    <row r="1522" spans="9:9">
      <c r="I1522" s="1"/>
    </row>
    <row r="1523" spans="9:9">
      <c r="I1523" s="1"/>
    </row>
    <row r="1524" spans="9:9">
      <c r="I1524" s="1"/>
    </row>
    <row r="1525" spans="9:9">
      <c r="I1525" s="1"/>
    </row>
    <row r="1526" spans="9:9">
      <c r="I1526" s="1"/>
    </row>
    <row r="1527" spans="9:9">
      <c r="I1527" s="1"/>
    </row>
    <row r="1528" spans="9:9">
      <c r="I1528" s="1"/>
    </row>
    <row r="1529" spans="9:9">
      <c r="I1529" s="1"/>
    </row>
    <row r="1530" spans="9:9">
      <c r="I1530" s="1"/>
    </row>
    <row r="1531" spans="9:9">
      <c r="I1531" s="1"/>
    </row>
    <row r="1532" spans="9:9">
      <c r="I1532" s="1"/>
    </row>
    <row r="1533" spans="9:9">
      <c r="I1533" s="1"/>
    </row>
    <row r="1534" spans="9:9">
      <c r="I1534" s="1"/>
    </row>
    <row r="1535" spans="9:9">
      <c r="I1535" s="1"/>
    </row>
    <row r="1536" spans="9:9">
      <c r="I1536" s="1"/>
    </row>
    <row r="1537" spans="9:9">
      <c r="I1537" s="1"/>
    </row>
    <row r="1538" spans="9:9">
      <c r="I1538" s="1"/>
    </row>
    <row r="1539" spans="9:9">
      <c r="I1539" s="1"/>
    </row>
    <row r="1540" spans="9:9">
      <c r="I1540" s="1"/>
    </row>
    <row r="1541" spans="9:9">
      <c r="I1541" s="1"/>
    </row>
    <row r="1542" spans="9:9">
      <c r="I1542" s="1"/>
    </row>
    <row r="1543" spans="9:9">
      <c r="I1543" s="1"/>
    </row>
    <row r="1544" spans="9:9">
      <c r="I1544" s="1"/>
    </row>
    <row r="1545" spans="9:9">
      <c r="I1545" s="1"/>
    </row>
    <row r="1546" spans="9:9">
      <c r="I1546" s="1"/>
    </row>
    <row r="1547" spans="9:9">
      <c r="I1547" s="1"/>
    </row>
    <row r="1548" spans="9:9">
      <c r="I1548" s="1"/>
    </row>
    <row r="1549" spans="9:9">
      <c r="I1549" s="1"/>
    </row>
    <row r="1550" spans="9:9">
      <c r="I1550" s="1"/>
    </row>
    <row r="1551" spans="9:9">
      <c r="I1551" s="1"/>
    </row>
    <row r="1552" spans="9:9">
      <c r="I1552" s="1"/>
    </row>
    <row r="1553" spans="9:9">
      <c r="I1553" s="1"/>
    </row>
  </sheetData>
  <phoneticPr fontId="5" type="noConversion"/>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52234-3C04-4AED-BCB3-BEFB77E42001}">
  <dimension ref="B1:I573"/>
  <sheetViews>
    <sheetView workbookViewId="0">
      <selection activeCell="B4" sqref="B4"/>
    </sheetView>
  </sheetViews>
  <sheetFormatPr baseColWidth="10" defaultRowHeight="15"/>
  <cols>
    <col min="1" max="1" width="11.42578125" style="1"/>
    <col min="2" max="2" width="13.28515625" style="2" bestFit="1" customWidth="1"/>
    <col min="3" max="3" width="10" style="2" bestFit="1" customWidth="1"/>
    <col min="4" max="4" width="10.5703125" style="2" bestFit="1" customWidth="1"/>
    <col min="5" max="5" width="12.85546875" style="2" bestFit="1" customWidth="1"/>
    <col min="6" max="6" width="8.42578125" style="2" bestFit="1" customWidth="1"/>
    <col min="7" max="7" width="16.28515625" style="1" bestFit="1" customWidth="1"/>
    <col min="8" max="8" width="19.42578125" style="1" bestFit="1" customWidth="1"/>
    <col min="9" max="9" width="20.5703125" style="2" bestFit="1" customWidth="1"/>
    <col min="10" max="11" width="8" style="1" bestFit="1" customWidth="1"/>
    <col min="12" max="12" width="8.42578125" style="1" bestFit="1" customWidth="1"/>
    <col min="13" max="13" width="10" style="1" bestFit="1" customWidth="1"/>
    <col min="14" max="16384" width="11.42578125" style="1"/>
  </cols>
  <sheetData>
    <row r="1" spans="2:9" s="18" customFormat="1" ht="125.25" customHeight="1">
      <c r="B1" s="19"/>
      <c r="C1" s="19"/>
      <c r="D1" s="19"/>
      <c r="E1" s="19"/>
      <c r="F1" s="19"/>
      <c r="I1" s="19"/>
    </row>
    <row r="2" spans="2:9">
      <c r="G2" s="21" t="str">
        <f xml:space="preserve"> "Anzahl: " &amp; SUBTOTAL(103,PDF_Lohntabelle___Netto_Check[Check: Logical])</f>
        <v>Anzahl: 570</v>
      </c>
      <c r="H2" s="21" t="str">
        <f>+"Summe: " &amp; ROUND( SUBTOTAL(109,PDF_Lohntabelle___Netto_Check[Check: Numerical]), 2 )</f>
        <v>Summe: 0,03</v>
      </c>
    </row>
    <row r="3" spans="2:9">
      <c r="B3" s="20" t="s">
        <v>17</v>
      </c>
      <c r="C3" s="20" t="s">
        <v>18</v>
      </c>
      <c r="D3" s="20" t="s">
        <v>19</v>
      </c>
      <c r="E3" s="20" t="s">
        <v>20</v>
      </c>
      <c r="F3" s="20" t="s">
        <v>7</v>
      </c>
      <c r="G3" s="20" t="s">
        <v>21</v>
      </c>
      <c r="H3" s="20" t="s">
        <v>22</v>
      </c>
      <c r="I3" s="1"/>
    </row>
    <row r="4" spans="2:9">
      <c r="B4" s="22">
        <v>550</v>
      </c>
      <c r="C4" s="22">
        <v>0</v>
      </c>
      <c r="D4" s="22">
        <v>0</v>
      </c>
      <c r="E4" s="22">
        <v>550</v>
      </c>
      <c r="F4" s="23"/>
      <c r="G4" s="2" t="b">
        <v>0</v>
      </c>
      <c r="H4" s="2"/>
      <c r="I4" s="1"/>
    </row>
    <row r="5" spans="2:9">
      <c r="B5" s="22">
        <v>560</v>
      </c>
      <c r="C5" s="22">
        <v>84.67</v>
      </c>
      <c r="D5" s="22">
        <v>0</v>
      </c>
      <c r="E5" s="22">
        <v>475.33</v>
      </c>
      <c r="F5" s="23"/>
      <c r="G5" s="2" t="b">
        <v>0</v>
      </c>
      <c r="H5" s="2"/>
      <c r="I5" s="1"/>
    </row>
    <row r="6" spans="2:9">
      <c r="B6" s="22">
        <v>580</v>
      </c>
      <c r="C6" s="22">
        <v>87.7</v>
      </c>
      <c r="D6" s="22">
        <v>0</v>
      </c>
      <c r="E6" s="22">
        <v>492.3</v>
      </c>
      <c r="F6" s="23"/>
      <c r="G6" s="2" t="b">
        <v>0</v>
      </c>
      <c r="H6" s="2"/>
      <c r="I6" s="1"/>
    </row>
    <row r="7" spans="2:9">
      <c r="B7" s="22">
        <v>600</v>
      </c>
      <c r="C7" s="22">
        <v>90.72</v>
      </c>
      <c r="D7" s="22">
        <v>0</v>
      </c>
      <c r="E7" s="22">
        <v>509.28</v>
      </c>
      <c r="F7" s="23">
        <v>509.28</v>
      </c>
      <c r="G7" s="2" t="b">
        <v>1</v>
      </c>
      <c r="H7" s="2">
        <v>0</v>
      </c>
      <c r="I7" s="1"/>
    </row>
    <row r="8" spans="2:9">
      <c r="B8" s="22">
        <v>620</v>
      </c>
      <c r="C8" s="22">
        <v>93.74</v>
      </c>
      <c r="D8" s="22">
        <v>0</v>
      </c>
      <c r="E8" s="22">
        <v>526.26</v>
      </c>
      <c r="F8" s="23"/>
      <c r="G8" s="2" t="b">
        <v>0</v>
      </c>
      <c r="H8" s="2"/>
      <c r="I8" s="1"/>
    </row>
    <row r="9" spans="2:9">
      <c r="B9" s="22">
        <v>640</v>
      </c>
      <c r="C9" s="22">
        <v>96.77</v>
      </c>
      <c r="D9" s="22">
        <v>0</v>
      </c>
      <c r="E9" s="22">
        <v>543.23</v>
      </c>
      <c r="F9" s="23"/>
      <c r="G9" s="2" t="b">
        <v>0</v>
      </c>
      <c r="H9" s="2"/>
      <c r="I9" s="1"/>
    </row>
    <row r="10" spans="2:9">
      <c r="B10" s="22">
        <v>660</v>
      </c>
      <c r="C10" s="22">
        <v>99.79</v>
      </c>
      <c r="D10" s="22">
        <v>0</v>
      </c>
      <c r="E10" s="22">
        <v>560.21</v>
      </c>
      <c r="F10" s="23"/>
      <c r="G10" s="2" t="b">
        <v>0</v>
      </c>
      <c r="H10" s="2"/>
      <c r="I10" s="1"/>
    </row>
    <row r="11" spans="2:9">
      <c r="B11" s="22">
        <v>680</v>
      </c>
      <c r="C11" s="22">
        <v>102.82</v>
      </c>
      <c r="D11" s="22">
        <v>0</v>
      </c>
      <c r="E11" s="22">
        <v>577.17999999999995</v>
      </c>
      <c r="F11" s="23"/>
      <c r="G11" s="2" t="b">
        <v>0</v>
      </c>
      <c r="H11" s="2"/>
      <c r="I11" s="1"/>
    </row>
    <row r="12" spans="2:9">
      <c r="B12" s="22">
        <v>700</v>
      </c>
      <c r="C12" s="22">
        <v>105.84</v>
      </c>
      <c r="D12" s="22">
        <v>0</v>
      </c>
      <c r="E12" s="22">
        <v>594.16</v>
      </c>
      <c r="F12" s="23">
        <v>594.16</v>
      </c>
      <c r="G12" s="2" t="b">
        <v>1</v>
      </c>
      <c r="H12" s="2">
        <v>0</v>
      </c>
      <c r="I12" s="1"/>
    </row>
    <row r="13" spans="2:9">
      <c r="B13" s="22">
        <v>720</v>
      </c>
      <c r="C13" s="22">
        <v>108.86</v>
      </c>
      <c r="D13" s="22">
        <v>0</v>
      </c>
      <c r="E13" s="22">
        <v>611.14</v>
      </c>
      <c r="F13" s="23"/>
      <c r="G13" s="2" t="b">
        <v>0</v>
      </c>
      <c r="H13" s="2"/>
      <c r="I13" s="1"/>
    </row>
    <row r="14" spans="2:9">
      <c r="B14" s="22">
        <v>740</v>
      </c>
      <c r="C14" s="22">
        <v>111.89</v>
      </c>
      <c r="D14" s="22">
        <v>0</v>
      </c>
      <c r="E14" s="22">
        <v>628.11</v>
      </c>
      <c r="F14" s="23"/>
      <c r="G14" s="2" t="b">
        <v>0</v>
      </c>
      <c r="H14" s="2"/>
      <c r="I14" s="1"/>
    </row>
    <row r="15" spans="2:9">
      <c r="B15" s="22">
        <v>760</v>
      </c>
      <c r="C15" s="22">
        <v>114.91</v>
      </c>
      <c r="D15" s="22">
        <v>0</v>
      </c>
      <c r="E15" s="22">
        <v>645.09</v>
      </c>
      <c r="F15" s="23"/>
      <c r="G15" s="2" t="b">
        <v>0</v>
      </c>
      <c r="H15" s="2"/>
      <c r="I15" s="1"/>
    </row>
    <row r="16" spans="2:9">
      <c r="B16" s="22">
        <v>780</v>
      </c>
      <c r="C16" s="22">
        <v>117.94</v>
      </c>
      <c r="D16" s="22">
        <v>0</v>
      </c>
      <c r="E16" s="22">
        <v>662.06</v>
      </c>
      <c r="F16" s="23"/>
      <c r="G16" s="2" t="b">
        <v>0</v>
      </c>
      <c r="H16" s="2"/>
      <c r="I16" s="1"/>
    </row>
    <row r="17" spans="2:9">
      <c r="B17" s="22">
        <v>800</v>
      </c>
      <c r="C17" s="22">
        <v>120.96</v>
      </c>
      <c r="D17" s="22">
        <v>0</v>
      </c>
      <c r="E17" s="22">
        <v>679.04</v>
      </c>
      <c r="F17" s="23">
        <v>679.04</v>
      </c>
      <c r="G17" s="2" t="b">
        <v>1</v>
      </c>
      <c r="H17" s="2">
        <v>0</v>
      </c>
      <c r="I17" s="1"/>
    </row>
    <row r="18" spans="2:9">
      <c r="B18" s="22">
        <v>820</v>
      </c>
      <c r="C18" s="22">
        <v>123.98</v>
      </c>
      <c r="D18" s="22">
        <v>0</v>
      </c>
      <c r="E18" s="22">
        <v>696.02</v>
      </c>
      <c r="F18" s="23"/>
      <c r="G18" s="2" t="b">
        <v>0</v>
      </c>
      <c r="H18" s="2"/>
      <c r="I18" s="1"/>
    </row>
    <row r="19" spans="2:9">
      <c r="B19" s="22">
        <v>840</v>
      </c>
      <c r="C19" s="22">
        <v>127.01</v>
      </c>
      <c r="D19" s="22">
        <v>0</v>
      </c>
      <c r="E19" s="22">
        <v>712.99</v>
      </c>
      <c r="F19" s="23"/>
      <c r="G19" s="2" t="b">
        <v>0</v>
      </c>
      <c r="H19" s="2"/>
      <c r="I19" s="1"/>
    </row>
    <row r="20" spans="2:9">
      <c r="B20" s="22">
        <v>860</v>
      </c>
      <c r="C20" s="22">
        <v>130.03</v>
      </c>
      <c r="D20" s="22">
        <v>0</v>
      </c>
      <c r="E20" s="22">
        <v>729.97</v>
      </c>
      <c r="F20" s="23"/>
      <c r="G20" s="2" t="b">
        <v>0</v>
      </c>
      <c r="H20" s="2"/>
      <c r="I20" s="1"/>
    </row>
    <row r="21" spans="2:9">
      <c r="B21" s="22">
        <v>880</v>
      </c>
      <c r="C21" s="22">
        <v>133.06</v>
      </c>
      <c r="D21" s="22">
        <v>0</v>
      </c>
      <c r="E21" s="22">
        <v>746.94</v>
      </c>
      <c r="F21" s="23"/>
      <c r="G21" s="2" t="b">
        <v>0</v>
      </c>
      <c r="H21" s="2"/>
      <c r="I21" s="1"/>
    </row>
    <row r="22" spans="2:9">
      <c r="B22" s="22">
        <v>900</v>
      </c>
      <c r="C22" s="22">
        <v>136.08000000000001</v>
      </c>
      <c r="D22" s="22">
        <v>0</v>
      </c>
      <c r="E22" s="22">
        <v>763.92</v>
      </c>
      <c r="F22" s="23">
        <v>763.92</v>
      </c>
      <c r="G22" s="2" t="b">
        <v>1</v>
      </c>
      <c r="H22" s="2">
        <v>0</v>
      </c>
      <c r="I22" s="1"/>
    </row>
    <row r="23" spans="2:9">
      <c r="B23" s="22">
        <v>920</v>
      </c>
      <c r="C23" s="22">
        <v>139.1</v>
      </c>
      <c r="D23" s="22">
        <v>0</v>
      </c>
      <c r="E23" s="22">
        <v>780.9</v>
      </c>
      <c r="F23" s="23"/>
      <c r="G23" s="2" t="b">
        <v>0</v>
      </c>
      <c r="H23" s="2"/>
      <c r="I23" s="1"/>
    </row>
    <row r="24" spans="2:9">
      <c r="B24" s="22">
        <v>940</v>
      </c>
      <c r="C24" s="22">
        <v>142.13</v>
      </c>
      <c r="D24" s="22">
        <v>0</v>
      </c>
      <c r="E24" s="22">
        <v>797.87</v>
      </c>
      <c r="F24" s="23"/>
      <c r="G24" s="2" t="b">
        <v>0</v>
      </c>
      <c r="H24" s="2"/>
      <c r="I24" s="1"/>
    </row>
    <row r="25" spans="2:9">
      <c r="B25" s="22">
        <v>960</v>
      </c>
      <c r="C25" s="22">
        <v>145.15</v>
      </c>
      <c r="D25" s="22">
        <v>0</v>
      </c>
      <c r="E25" s="22">
        <v>814.85</v>
      </c>
      <c r="F25" s="23"/>
      <c r="G25" s="2" t="b">
        <v>0</v>
      </c>
      <c r="H25" s="2"/>
      <c r="I25" s="1"/>
    </row>
    <row r="26" spans="2:9">
      <c r="B26" s="22">
        <v>980</v>
      </c>
      <c r="C26" s="22">
        <v>148.18</v>
      </c>
      <c r="D26" s="22">
        <v>0</v>
      </c>
      <c r="E26" s="22">
        <v>831.82</v>
      </c>
      <c r="F26" s="23"/>
      <c r="G26" s="2" t="b">
        <v>0</v>
      </c>
      <c r="H26" s="2"/>
      <c r="I26" s="1"/>
    </row>
    <row r="27" spans="2:9">
      <c r="B27" s="22">
        <v>1000</v>
      </c>
      <c r="C27" s="22">
        <v>151.19999999999999</v>
      </c>
      <c r="D27" s="22">
        <v>0</v>
      </c>
      <c r="E27" s="22">
        <v>848.8</v>
      </c>
      <c r="F27" s="23">
        <v>848.8</v>
      </c>
      <c r="G27" s="2" t="b">
        <v>1</v>
      </c>
      <c r="H27" s="2">
        <v>0</v>
      </c>
      <c r="I27" s="1"/>
    </row>
    <row r="28" spans="2:9">
      <c r="B28" s="22">
        <v>1020</v>
      </c>
      <c r="C28" s="22">
        <v>154.22</v>
      </c>
      <c r="D28" s="22">
        <v>0</v>
      </c>
      <c r="E28" s="22">
        <v>865.78</v>
      </c>
      <c r="F28" s="23"/>
      <c r="G28" s="2" t="b">
        <v>0</v>
      </c>
      <c r="H28" s="2"/>
      <c r="I28" s="1"/>
    </row>
    <row r="29" spans="2:9">
      <c r="B29" s="22">
        <v>1040</v>
      </c>
      <c r="C29" s="22">
        <v>157.25</v>
      </c>
      <c r="D29" s="22">
        <v>0</v>
      </c>
      <c r="E29" s="22">
        <v>882.75</v>
      </c>
      <c r="F29" s="23"/>
      <c r="G29" s="2" t="b">
        <v>0</v>
      </c>
      <c r="H29" s="2"/>
      <c r="I29" s="1"/>
    </row>
    <row r="30" spans="2:9">
      <c r="B30" s="22">
        <v>1060</v>
      </c>
      <c r="C30" s="22">
        <v>160.27000000000001</v>
      </c>
      <c r="D30" s="22">
        <v>0</v>
      </c>
      <c r="E30" s="22">
        <v>899.73</v>
      </c>
      <c r="F30" s="23"/>
      <c r="G30" s="2" t="b">
        <v>0</v>
      </c>
      <c r="H30" s="2"/>
      <c r="I30" s="1"/>
    </row>
    <row r="31" spans="2:9">
      <c r="B31" s="22">
        <v>1080</v>
      </c>
      <c r="C31" s="22">
        <v>163.30000000000001</v>
      </c>
      <c r="D31" s="22">
        <v>0</v>
      </c>
      <c r="E31" s="22">
        <v>916.7</v>
      </c>
      <c r="F31" s="23"/>
      <c r="G31" s="2" t="b">
        <v>0</v>
      </c>
      <c r="H31" s="2"/>
      <c r="I31" s="1"/>
    </row>
    <row r="32" spans="2:9">
      <c r="B32" s="22">
        <v>1100</v>
      </c>
      <c r="C32" s="22">
        <v>166.32</v>
      </c>
      <c r="D32" s="22">
        <v>0</v>
      </c>
      <c r="E32" s="22">
        <v>933.68</v>
      </c>
      <c r="F32" s="23">
        <v>933.68</v>
      </c>
      <c r="G32" s="2" t="b">
        <v>1</v>
      </c>
      <c r="H32" s="2">
        <v>0</v>
      </c>
      <c r="I32" s="1"/>
    </row>
    <row r="33" spans="2:9">
      <c r="B33" s="22">
        <v>1120</v>
      </c>
      <c r="C33" s="22">
        <v>169.34</v>
      </c>
      <c r="D33" s="22">
        <v>0</v>
      </c>
      <c r="E33" s="22">
        <v>950.66</v>
      </c>
      <c r="F33" s="23"/>
      <c r="G33" s="2" t="b">
        <v>0</v>
      </c>
      <c r="H33" s="2"/>
      <c r="I33" s="1"/>
    </row>
    <row r="34" spans="2:9">
      <c r="B34" s="22">
        <v>1140</v>
      </c>
      <c r="C34" s="22">
        <v>172.37</v>
      </c>
      <c r="D34" s="22">
        <v>0</v>
      </c>
      <c r="E34" s="22">
        <v>967.63</v>
      </c>
      <c r="F34" s="23"/>
      <c r="G34" s="2" t="b">
        <v>0</v>
      </c>
      <c r="H34" s="2"/>
      <c r="I34" s="1"/>
    </row>
    <row r="35" spans="2:9">
      <c r="B35" s="22">
        <v>1160</v>
      </c>
      <c r="C35" s="22">
        <v>175.39</v>
      </c>
      <c r="D35" s="22">
        <v>0</v>
      </c>
      <c r="E35" s="22">
        <v>984.61</v>
      </c>
      <c r="F35" s="23"/>
      <c r="G35" s="2" t="b">
        <v>0</v>
      </c>
      <c r="H35" s="2"/>
      <c r="I35" s="1"/>
    </row>
    <row r="36" spans="2:9">
      <c r="B36" s="22">
        <v>1180</v>
      </c>
      <c r="C36" s="22">
        <v>178.42</v>
      </c>
      <c r="D36" s="22">
        <v>0</v>
      </c>
      <c r="E36" s="22">
        <v>1001.58</v>
      </c>
      <c r="F36" s="23"/>
      <c r="G36" s="2" t="b">
        <v>0</v>
      </c>
      <c r="H36" s="2"/>
      <c r="I36" s="1"/>
    </row>
    <row r="37" spans="2:9">
      <c r="B37" s="22">
        <v>1200</v>
      </c>
      <c r="C37" s="22">
        <v>181.44</v>
      </c>
      <c r="D37" s="22">
        <v>0</v>
      </c>
      <c r="E37" s="22">
        <v>1018.56</v>
      </c>
      <c r="F37" s="23">
        <v>1018.56</v>
      </c>
      <c r="G37" s="2" t="b">
        <v>1</v>
      </c>
      <c r="H37" s="2">
        <v>0</v>
      </c>
      <c r="I37" s="1"/>
    </row>
    <row r="38" spans="2:9">
      <c r="B38" s="22">
        <v>1220</v>
      </c>
      <c r="C38" s="22">
        <v>184.46</v>
      </c>
      <c r="D38" s="22">
        <v>0</v>
      </c>
      <c r="E38" s="22">
        <v>1035.54</v>
      </c>
      <c r="F38" s="23"/>
      <c r="G38" s="2" t="b">
        <v>0</v>
      </c>
      <c r="H38" s="2"/>
      <c r="I38" s="1"/>
    </row>
    <row r="39" spans="2:9">
      <c r="B39" s="22">
        <v>1240</v>
      </c>
      <c r="C39" s="22">
        <v>187.49</v>
      </c>
      <c r="D39" s="22">
        <v>0</v>
      </c>
      <c r="E39" s="22">
        <v>1052.51</v>
      </c>
      <c r="F39" s="23"/>
      <c r="G39" s="2" t="b">
        <v>0</v>
      </c>
      <c r="H39" s="2"/>
      <c r="I39" s="1"/>
    </row>
    <row r="40" spans="2:9">
      <c r="B40" s="22">
        <v>1260</v>
      </c>
      <c r="C40" s="22">
        <v>190.51</v>
      </c>
      <c r="D40" s="22">
        <v>0</v>
      </c>
      <c r="E40" s="22">
        <v>1069.49</v>
      </c>
      <c r="F40" s="23"/>
      <c r="G40" s="2" t="b">
        <v>0</v>
      </c>
      <c r="H40" s="2"/>
      <c r="I40" s="1"/>
    </row>
    <row r="41" spans="2:9">
      <c r="B41" s="22">
        <v>1280</v>
      </c>
      <c r="C41" s="22">
        <v>193.54</v>
      </c>
      <c r="D41" s="22">
        <v>0</v>
      </c>
      <c r="E41" s="22">
        <v>1086.46</v>
      </c>
      <c r="F41" s="23"/>
      <c r="G41" s="2" t="b">
        <v>0</v>
      </c>
      <c r="H41" s="2"/>
      <c r="I41" s="1"/>
    </row>
    <row r="42" spans="2:9">
      <c r="B42" s="22">
        <v>1300</v>
      </c>
      <c r="C42" s="22">
        <v>196.56</v>
      </c>
      <c r="D42" s="22">
        <v>0</v>
      </c>
      <c r="E42" s="22">
        <v>1103.44</v>
      </c>
      <c r="F42" s="23">
        <v>1103.44</v>
      </c>
      <c r="G42" s="2" t="b">
        <v>1</v>
      </c>
      <c r="H42" s="2">
        <v>0</v>
      </c>
      <c r="I42" s="1"/>
    </row>
    <row r="43" spans="2:9">
      <c r="B43" s="22">
        <v>1320</v>
      </c>
      <c r="C43" s="22">
        <v>199.58</v>
      </c>
      <c r="D43" s="22">
        <v>0</v>
      </c>
      <c r="E43" s="22">
        <v>1120.42</v>
      </c>
      <c r="F43" s="23"/>
      <c r="G43" s="2" t="b">
        <v>0</v>
      </c>
      <c r="H43" s="2"/>
      <c r="I43" s="1"/>
    </row>
    <row r="44" spans="2:9">
      <c r="B44" s="22">
        <v>1340</v>
      </c>
      <c r="C44" s="22">
        <v>202.61</v>
      </c>
      <c r="D44" s="22">
        <v>0</v>
      </c>
      <c r="E44" s="22">
        <v>1137.3900000000001</v>
      </c>
      <c r="F44" s="23"/>
      <c r="G44" s="2" t="b">
        <v>0</v>
      </c>
      <c r="H44" s="2"/>
      <c r="I44" s="1"/>
    </row>
    <row r="45" spans="2:9">
      <c r="B45" s="22">
        <v>1360</v>
      </c>
      <c r="C45" s="22">
        <v>205.63</v>
      </c>
      <c r="D45" s="22">
        <v>0</v>
      </c>
      <c r="E45" s="22">
        <v>1154.3699999999999</v>
      </c>
      <c r="F45" s="23"/>
      <c r="G45" s="2" t="b">
        <v>0</v>
      </c>
      <c r="H45" s="2"/>
      <c r="I45" s="1"/>
    </row>
    <row r="46" spans="2:9">
      <c r="B46" s="22">
        <v>1380</v>
      </c>
      <c r="C46" s="22">
        <v>208.66</v>
      </c>
      <c r="D46" s="22">
        <v>0</v>
      </c>
      <c r="E46" s="22">
        <v>1171.3399999999999</v>
      </c>
      <c r="F46" s="23"/>
      <c r="G46" s="2" t="b">
        <v>0</v>
      </c>
      <c r="H46" s="2"/>
      <c r="I46" s="1"/>
    </row>
    <row r="47" spans="2:9">
      <c r="B47" s="22">
        <v>1400</v>
      </c>
      <c r="C47" s="22">
        <v>211.68</v>
      </c>
      <c r="D47" s="22">
        <v>0</v>
      </c>
      <c r="E47" s="22">
        <v>1188.32</v>
      </c>
      <c r="F47" s="23">
        <v>1188.32</v>
      </c>
      <c r="G47" s="2" t="b">
        <v>1</v>
      </c>
      <c r="H47" s="2">
        <v>0</v>
      </c>
      <c r="I47" s="1"/>
    </row>
    <row r="48" spans="2:9">
      <c r="B48" s="22">
        <v>1420</v>
      </c>
      <c r="C48" s="22">
        <v>214.7</v>
      </c>
      <c r="D48" s="22">
        <v>0</v>
      </c>
      <c r="E48" s="22">
        <v>1205.3</v>
      </c>
      <c r="F48" s="23"/>
      <c r="G48" s="2" t="b">
        <v>0</v>
      </c>
      <c r="H48" s="2"/>
      <c r="I48" s="1"/>
    </row>
    <row r="49" spans="2:9">
      <c r="B49" s="22">
        <v>1440</v>
      </c>
      <c r="C49" s="22">
        <v>217.73</v>
      </c>
      <c r="D49" s="22">
        <v>0</v>
      </c>
      <c r="E49" s="22">
        <v>1222.27</v>
      </c>
      <c r="F49" s="23"/>
      <c r="G49" s="2" t="b">
        <v>0</v>
      </c>
      <c r="H49" s="2"/>
      <c r="I49" s="1"/>
    </row>
    <row r="50" spans="2:9">
      <c r="B50" s="22">
        <v>1460</v>
      </c>
      <c r="C50" s="22">
        <v>220.75</v>
      </c>
      <c r="D50" s="22">
        <v>0</v>
      </c>
      <c r="E50" s="22">
        <v>1239.25</v>
      </c>
      <c r="F50" s="23"/>
      <c r="G50" s="2" t="b">
        <v>0</v>
      </c>
      <c r="H50" s="2"/>
      <c r="I50" s="1"/>
    </row>
    <row r="51" spans="2:9">
      <c r="B51" s="22">
        <v>1480</v>
      </c>
      <c r="C51" s="22">
        <v>223.78</v>
      </c>
      <c r="D51" s="22">
        <v>0</v>
      </c>
      <c r="E51" s="22">
        <v>1256.22</v>
      </c>
      <c r="F51" s="23"/>
      <c r="G51" s="2" t="b">
        <v>0</v>
      </c>
      <c r="H51" s="2"/>
      <c r="I51" s="1"/>
    </row>
    <row r="52" spans="2:9">
      <c r="B52" s="22">
        <v>1500</v>
      </c>
      <c r="C52" s="22">
        <v>226.8</v>
      </c>
      <c r="D52" s="22">
        <v>0</v>
      </c>
      <c r="E52" s="22">
        <v>1273.2</v>
      </c>
      <c r="F52" s="23">
        <v>1273.2</v>
      </c>
      <c r="G52" s="2" t="b">
        <v>1</v>
      </c>
      <c r="H52" s="2">
        <v>0</v>
      </c>
      <c r="I52" s="1"/>
    </row>
    <row r="53" spans="2:9">
      <c r="B53" s="22">
        <v>1520</v>
      </c>
      <c r="C53" s="22">
        <v>229.82</v>
      </c>
      <c r="D53" s="22">
        <v>0</v>
      </c>
      <c r="E53" s="22">
        <v>1290.18</v>
      </c>
      <c r="F53" s="23"/>
      <c r="G53" s="2" t="b">
        <v>0</v>
      </c>
      <c r="H53" s="2"/>
      <c r="I53" s="1"/>
    </row>
    <row r="54" spans="2:9">
      <c r="B54" s="22">
        <v>1540</v>
      </c>
      <c r="C54" s="22">
        <v>232.85</v>
      </c>
      <c r="D54" s="22">
        <v>0</v>
      </c>
      <c r="E54" s="22">
        <v>1307.1500000000001</v>
      </c>
      <c r="F54" s="23"/>
      <c r="G54" s="2" t="b">
        <v>0</v>
      </c>
      <c r="H54" s="2"/>
      <c r="I54" s="1"/>
    </row>
    <row r="55" spans="2:9">
      <c r="B55" s="22">
        <v>1560</v>
      </c>
      <c r="C55" s="22">
        <v>235.87</v>
      </c>
      <c r="D55" s="22">
        <v>0.24</v>
      </c>
      <c r="E55" s="22">
        <v>1323.89</v>
      </c>
      <c r="F55" s="23"/>
      <c r="G55" s="2" t="b">
        <v>0</v>
      </c>
      <c r="H55" s="2"/>
      <c r="I55" s="1"/>
    </row>
    <row r="56" spans="2:9">
      <c r="B56" s="22">
        <v>1580</v>
      </c>
      <c r="C56" s="22">
        <v>238.9</v>
      </c>
      <c r="D56" s="22">
        <v>3.64</v>
      </c>
      <c r="E56" s="22">
        <v>1337.46</v>
      </c>
      <c r="F56" s="23"/>
      <c r="G56" s="2" t="b">
        <v>0</v>
      </c>
      <c r="H56" s="2"/>
      <c r="I56" s="1"/>
    </row>
    <row r="57" spans="2:9">
      <c r="B57" s="22">
        <v>1600</v>
      </c>
      <c r="C57" s="22">
        <v>241.92</v>
      </c>
      <c r="D57" s="22">
        <v>7.03</v>
      </c>
      <c r="E57" s="22">
        <v>1351.05</v>
      </c>
      <c r="F57" s="23">
        <v>1351.04</v>
      </c>
      <c r="G57" s="2" t="b">
        <v>0</v>
      </c>
      <c r="H57" s="2">
        <v>9.9999999999909051E-3</v>
      </c>
      <c r="I57" s="1"/>
    </row>
    <row r="58" spans="2:9">
      <c r="B58" s="22">
        <v>1620</v>
      </c>
      <c r="C58" s="22">
        <v>244.94</v>
      </c>
      <c r="D58" s="22">
        <v>10.43</v>
      </c>
      <c r="E58" s="22">
        <v>1364.63</v>
      </c>
      <c r="F58" s="23"/>
      <c r="G58" s="2" t="b">
        <v>0</v>
      </c>
      <c r="H58" s="2"/>
      <c r="I58" s="1"/>
    </row>
    <row r="59" spans="2:9">
      <c r="B59" s="22">
        <v>1640</v>
      </c>
      <c r="C59" s="22">
        <v>247.97</v>
      </c>
      <c r="D59" s="22">
        <v>13.82</v>
      </c>
      <c r="E59" s="22">
        <v>1378.21</v>
      </c>
      <c r="F59" s="23"/>
      <c r="G59" s="2" t="b">
        <v>0</v>
      </c>
      <c r="H59" s="2"/>
      <c r="I59" s="1"/>
    </row>
    <row r="60" spans="2:9">
      <c r="B60" s="22">
        <v>1660</v>
      </c>
      <c r="C60" s="22">
        <v>250.99</v>
      </c>
      <c r="D60" s="22">
        <v>17.22</v>
      </c>
      <c r="E60" s="22">
        <v>1391.79</v>
      </c>
      <c r="F60" s="23"/>
      <c r="G60" s="2" t="b">
        <v>0</v>
      </c>
      <c r="H60" s="2"/>
      <c r="I60" s="1"/>
    </row>
    <row r="61" spans="2:9">
      <c r="B61" s="22">
        <v>1680</v>
      </c>
      <c r="C61" s="22">
        <v>254.02</v>
      </c>
      <c r="D61" s="22">
        <v>20.61</v>
      </c>
      <c r="E61" s="22">
        <v>1405.37</v>
      </c>
      <c r="F61" s="23"/>
      <c r="G61" s="2" t="b">
        <v>0</v>
      </c>
      <c r="H61" s="2"/>
      <c r="I61" s="1"/>
    </row>
    <row r="62" spans="2:9">
      <c r="B62" s="22">
        <v>1700</v>
      </c>
      <c r="C62" s="22">
        <v>257.04000000000002</v>
      </c>
      <c r="D62" s="22">
        <v>24.01</v>
      </c>
      <c r="E62" s="22">
        <v>1418.95</v>
      </c>
      <c r="F62" s="23">
        <v>1418.95</v>
      </c>
      <c r="G62" s="2" t="b">
        <v>1</v>
      </c>
      <c r="H62" s="2">
        <v>0</v>
      </c>
      <c r="I62" s="1"/>
    </row>
    <row r="63" spans="2:9">
      <c r="B63" s="22">
        <v>1720</v>
      </c>
      <c r="C63" s="22">
        <v>260.06</v>
      </c>
      <c r="D63" s="22">
        <v>27.41</v>
      </c>
      <c r="E63" s="22">
        <v>1432.53</v>
      </c>
      <c r="F63" s="23"/>
      <c r="G63" s="2" t="b">
        <v>0</v>
      </c>
      <c r="H63" s="2"/>
      <c r="I63" s="1"/>
    </row>
    <row r="64" spans="2:9">
      <c r="B64" s="22">
        <v>1740</v>
      </c>
      <c r="C64" s="22">
        <v>263.08999999999997</v>
      </c>
      <c r="D64" s="22">
        <v>30.8</v>
      </c>
      <c r="E64" s="22">
        <v>1446.11</v>
      </c>
      <c r="F64" s="23"/>
      <c r="G64" s="2" t="b">
        <v>0</v>
      </c>
      <c r="H64" s="2"/>
      <c r="I64" s="1"/>
    </row>
    <row r="65" spans="2:9">
      <c r="B65" s="22">
        <v>1760</v>
      </c>
      <c r="C65" s="22">
        <v>266.11</v>
      </c>
      <c r="D65" s="22">
        <v>34.200000000000003</v>
      </c>
      <c r="E65" s="22">
        <v>1459.69</v>
      </c>
      <c r="F65" s="23"/>
      <c r="G65" s="2" t="b">
        <v>0</v>
      </c>
      <c r="H65" s="2"/>
      <c r="I65" s="1"/>
    </row>
    <row r="66" spans="2:9">
      <c r="B66" s="22">
        <v>1780</v>
      </c>
      <c r="C66" s="22">
        <v>269.14</v>
      </c>
      <c r="D66" s="22">
        <v>37.590000000000003</v>
      </c>
      <c r="E66" s="22">
        <v>1473.27</v>
      </c>
      <c r="F66" s="23"/>
      <c r="G66" s="2" t="b">
        <v>0</v>
      </c>
      <c r="H66" s="2"/>
      <c r="I66" s="1"/>
    </row>
    <row r="67" spans="2:9">
      <c r="B67" s="22">
        <v>1800</v>
      </c>
      <c r="C67" s="22">
        <v>272.16000000000003</v>
      </c>
      <c r="D67" s="22">
        <v>40.99</v>
      </c>
      <c r="E67" s="22">
        <v>1486.85</v>
      </c>
      <c r="F67" s="23">
        <v>1486.85</v>
      </c>
      <c r="G67" s="2" t="b">
        <v>1</v>
      </c>
      <c r="H67" s="2">
        <v>0</v>
      </c>
      <c r="I67" s="1"/>
    </row>
    <row r="68" spans="2:9">
      <c r="B68" s="22">
        <v>1820</v>
      </c>
      <c r="C68" s="22">
        <v>275.18</v>
      </c>
      <c r="D68" s="22">
        <v>44.38</v>
      </c>
      <c r="E68" s="22">
        <v>1500.44</v>
      </c>
      <c r="F68" s="23"/>
      <c r="G68" s="2" t="b">
        <v>0</v>
      </c>
      <c r="H68" s="2"/>
      <c r="I68" s="1"/>
    </row>
    <row r="69" spans="2:9">
      <c r="B69" s="22">
        <v>1840</v>
      </c>
      <c r="C69" s="22">
        <v>278.20999999999998</v>
      </c>
      <c r="D69" s="22">
        <v>47.78</v>
      </c>
      <c r="E69" s="22">
        <v>1514.01</v>
      </c>
      <c r="F69" s="23"/>
      <c r="G69" s="2" t="b">
        <v>0</v>
      </c>
      <c r="H69" s="2"/>
      <c r="I69" s="1"/>
    </row>
    <row r="70" spans="2:9">
      <c r="B70" s="22">
        <v>1860</v>
      </c>
      <c r="C70" s="22">
        <v>281.23</v>
      </c>
      <c r="D70" s="22">
        <v>51.17</v>
      </c>
      <c r="E70" s="22">
        <v>1527.6</v>
      </c>
      <c r="F70" s="23"/>
      <c r="G70" s="2" t="b">
        <v>0</v>
      </c>
      <c r="H70" s="2"/>
      <c r="I70" s="1"/>
    </row>
    <row r="71" spans="2:9">
      <c r="B71" s="22">
        <v>1880</v>
      </c>
      <c r="C71" s="22">
        <v>284.26</v>
      </c>
      <c r="D71" s="22">
        <v>54.57</v>
      </c>
      <c r="E71" s="22">
        <v>1541.17</v>
      </c>
      <c r="F71" s="23"/>
      <c r="G71" s="2" t="b">
        <v>0</v>
      </c>
      <c r="H71" s="2"/>
      <c r="I71" s="1"/>
    </row>
    <row r="72" spans="2:9">
      <c r="B72" s="22">
        <v>1900</v>
      </c>
      <c r="C72" s="22">
        <v>287.27999999999997</v>
      </c>
      <c r="D72" s="22">
        <v>57.96</v>
      </c>
      <c r="E72" s="22">
        <v>1554.76</v>
      </c>
      <c r="F72" s="23">
        <v>1554.76</v>
      </c>
      <c r="G72" s="2" t="b">
        <v>1</v>
      </c>
      <c r="H72" s="2">
        <v>0</v>
      </c>
      <c r="I72" s="1"/>
    </row>
    <row r="73" spans="2:9">
      <c r="B73" s="22">
        <v>1920</v>
      </c>
      <c r="C73" s="22">
        <v>290.3</v>
      </c>
      <c r="D73" s="22">
        <v>61.36</v>
      </c>
      <c r="E73" s="22">
        <v>1568.34</v>
      </c>
      <c r="F73" s="23"/>
      <c r="G73" s="2" t="b">
        <v>0</v>
      </c>
      <c r="H73" s="2"/>
      <c r="I73" s="1"/>
    </row>
    <row r="74" spans="2:9">
      <c r="B74" s="22">
        <v>1940</v>
      </c>
      <c r="C74" s="22">
        <v>293.33</v>
      </c>
      <c r="D74" s="22">
        <v>64.75</v>
      </c>
      <c r="E74" s="22">
        <v>1581.92</v>
      </c>
      <c r="F74" s="23"/>
      <c r="G74" s="2" t="b">
        <v>0</v>
      </c>
      <c r="H74" s="2"/>
      <c r="I74" s="1"/>
    </row>
    <row r="75" spans="2:9">
      <c r="B75" s="22">
        <v>1960</v>
      </c>
      <c r="C75" s="22">
        <v>296.35000000000002</v>
      </c>
      <c r="D75" s="22">
        <v>68.150000000000006</v>
      </c>
      <c r="E75" s="22">
        <v>1595.5</v>
      </c>
      <c r="F75" s="23"/>
      <c r="G75" s="2" t="b">
        <v>0</v>
      </c>
      <c r="H75" s="2"/>
      <c r="I75" s="1"/>
    </row>
    <row r="76" spans="2:9">
      <c r="B76" s="22">
        <v>1980</v>
      </c>
      <c r="C76" s="22">
        <v>299.38</v>
      </c>
      <c r="D76" s="22">
        <v>71.540000000000006</v>
      </c>
      <c r="E76" s="22">
        <v>1609.08</v>
      </c>
      <c r="F76" s="23"/>
      <c r="G76" s="2" t="b">
        <v>0</v>
      </c>
      <c r="H76" s="2"/>
      <c r="I76" s="1"/>
    </row>
    <row r="77" spans="2:9">
      <c r="B77" s="22">
        <v>2000</v>
      </c>
      <c r="C77" s="22">
        <v>302.39999999999998</v>
      </c>
      <c r="D77" s="22">
        <v>74.94</v>
      </c>
      <c r="E77" s="22">
        <v>1622.66</v>
      </c>
      <c r="F77" s="23">
        <v>1622.66</v>
      </c>
      <c r="G77" s="2" t="b">
        <v>1</v>
      </c>
      <c r="H77" s="2">
        <v>0</v>
      </c>
      <c r="I77" s="1"/>
    </row>
    <row r="78" spans="2:9">
      <c r="B78" s="22">
        <v>2020</v>
      </c>
      <c r="C78" s="22">
        <v>305.42</v>
      </c>
      <c r="D78" s="22">
        <v>78.33</v>
      </c>
      <c r="E78" s="22">
        <v>1636.25</v>
      </c>
      <c r="F78" s="23"/>
      <c r="G78" s="2" t="b">
        <v>0</v>
      </c>
      <c r="H78" s="2"/>
      <c r="I78" s="1"/>
    </row>
    <row r="79" spans="2:9">
      <c r="B79" s="22">
        <v>2040</v>
      </c>
      <c r="C79" s="22">
        <v>308.45</v>
      </c>
      <c r="D79" s="22">
        <v>81.73</v>
      </c>
      <c r="E79" s="22">
        <v>1649.82</v>
      </c>
      <c r="F79" s="23"/>
      <c r="G79" s="2" t="b">
        <v>0</v>
      </c>
      <c r="H79" s="2"/>
      <c r="I79" s="1"/>
    </row>
    <row r="80" spans="2:9">
      <c r="B80" s="22">
        <v>2060</v>
      </c>
      <c r="C80" s="22">
        <v>311.47000000000003</v>
      </c>
      <c r="D80" s="22">
        <v>85.12</v>
      </c>
      <c r="E80" s="22">
        <v>1663.41</v>
      </c>
      <c r="F80" s="23"/>
      <c r="G80" s="2" t="b">
        <v>0</v>
      </c>
      <c r="H80" s="2"/>
      <c r="I80" s="1"/>
    </row>
    <row r="81" spans="2:9">
      <c r="B81" s="22">
        <v>2080</v>
      </c>
      <c r="C81" s="22">
        <v>335.3</v>
      </c>
      <c r="D81" s="22">
        <v>84.36</v>
      </c>
      <c r="E81" s="22">
        <v>1660.34</v>
      </c>
      <c r="F81" s="23"/>
      <c r="G81" s="2" t="b">
        <v>0</v>
      </c>
      <c r="H81" s="2"/>
      <c r="I81" s="1"/>
    </row>
    <row r="82" spans="2:9">
      <c r="B82" s="22">
        <v>2100</v>
      </c>
      <c r="C82" s="22">
        <v>338.52</v>
      </c>
      <c r="D82" s="22">
        <v>87.71</v>
      </c>
      <c r="E82" s="22">
        <v>1673.77</v>
      </c>
      <c r="F82" s="23">
        <v>1673.76</v>
      </c>
      <c r="G82" s="2" t="b">
        <v>0</v>
      </c>
      <c r="H82" s="2">
        <v>9.9999999999909051E-3</v>
      </c>
      <c r="I82" s="1"/>
    </row>
    <row r="83" spans="2:9">
      <c r="B83" s="22">
        <v>2120</v>
      </c>
      <c r="C83" s="22">
        <v>341.74</v>
      </c>
      <c r="D83" s="22">
        <v>91.07</v>
      </c>
      <c r="E83" s="22">
        <v>1687.19</v>
      </c>
      <c r="F83" s="23"/>
      <c r="G83" s="2" t="b">
        <v>0</v>
      </c>
      <c r="H83" s="2"/>
      <c r="I83" s="1"/>
    </row>
    <row r="84" spans="2:9">
      <c r="B84" s="22">
        <v>2140</v>
      </c>
      <c r="C84" s="22">
        <v>344.97</v>
      </c>
      <c r="D84" s="22">
        <v>94.42</v>
      </c>
      <c r="E84" s="22">
        <v>1700.61</v>
      </c>
      <c r="F84" s="23"/>
      <c r="G84" s="2" t="b">
        <v>0</v>
      </c>
      <c r="H84" s="2"/>
      <c r="I84" s="1"/>
    </row>
    <row r="85" spans="2:9">
      <c r="B85" s="22">
        <v>2160</v>
      </c>
      <c r="C85" s="22">
        <v>348.19</v>
      </c>
      <c r="D85" s="22">
        <v>97.78</v>
      </c>
      <c r="E85" s="22">
        <v>1714.03</v>
      </c>
      <c r="F85" s="23"/>
      <c r="G85" s="2" t="b">
        <v>0</v>
      </c>
      <c r="H85" s="2"/>
      <c r="I85" s="1"/>
    </row>
    <row r="86" spans="2:9">
      <c r="B86" s="22">
        <v>2180</v>
      </c>
      <c r="C86" s="22">
        <v>351.42</v>
      </c>
      <c r="D86" s="22">
        <v>102.75</v>
      </c>
      <c r="E86" s="22">
        <v>1725.83</v>
      </c>
      <c r="F86" s="23"/>
      <c r="G86" s="2" t="b">
        <v>0</v>
      </c>
      <c r="H86" s="2"/>
      <c r="I86" s="1"/>
    </row>
    <row r="87" spans="2:9">
      <c r="B87" s="22">
        <v>2200</v>
      </c>
      <c r="C87" s="22">
        <v>354.64</v>
      </c>
      <c r="D87" s="22">
        <v>107.78</v>
      </c>
      <c r="E87" s="22">
        <v>1737.58</v>
      </c>
      <c r="F87" s="23">
        <v>1737.57</v>
      </c>
      <c r="G87" s="2" t="b">
        <v>0</v>
      </c>
      <c r="H87" s="2">
        <v>9.9999999999909051E-3</v>
      </c>
      <c r="I87" s="1"/>
    </row>
    <row r="88" spans="2:9">
      <c r="B88" s="22">
        <v>2220</v>
      </c>
      <c r="C88" s="22">
        <v>357.86</v>
      </c>
      <c r="D88" s="22">
        <v>112.82</v>
      </c>
      <c r="E88" s="22">
        <v>1749.32</v>
      </c>
      <c r="F88" s="23"/>
      <c r="G88" s="2" t="b">
        <v>0</v>
      </c>
      <c r="H88" s="2"/>
      <c r="I88" s="1"/>
    </row>
    <row r="89" spans="2:9">
      <c r="B89" s="22">
        <v>2240</v>
      </c>
      <c r="C89" s="22">
        <v>361.09</v>
      </c>
      <c r="D89" s="22">
        <v>117.85</v>
      </c>
      <c r="E89" s="22">
        <v>1761.06</v>
      </c>
      <c r="F89" s="23"/>
      <c r="G89" s="2" t="b">
        <v>0</v>
      </c>
      <c r="H89" s="2"/>
      <c r="I89" s="1"/>
    </row>
    <row r="90" spans="2:9">
      <c r="B90" s="22">
        <v>2260</v>
      </c>
      <c r="C90" s="22">
        <v>364.31</v>
      </c>
      <c r="D90" s="22">
        <v>122.88</v>
      </c>
      <c r="E90" s="22">
        <v>1772.81</v>
      </c>
      <c r="F90" s="23"/>
      <c r="G90" s="2" t="b">
        <v>0</v>
      </c>
      <c r="H90" s="2"/>
      <c r="I90" s="1"/>
    </row>
    <row r="91" spans="2:9">
      <c r="B91" s="22">
        <v>2280</v>
      </c>
      <c r="C91" s="22">
        <v>390.34</v>
      </c>
      <c r="D91" s="22">
        <v>121.07</v>
      </c>
      <c r="E91" s="22">
        <v>1768.59</v>
      </c>
      <c r="F91" s="23"/>
      <c r="G91" s="2" t="b">
        <v>0</v>
      </c>
      <c r="H91" s="2"/>
      <c r="I91" s="1"/>
    </row>
    <row r="92" spans="2:9">
      <c r="B92" s="22">
        <v>2300</v>
      </c>
      <c r="C92" s="22">
        <v>393.76</v>
      </c>
      <c r="D92" s="22">
        <v>126.05</v>
      </c>
      <c r="E92" s="22">
        <v>1780.19</v>
      </c>
      <c r="F92" s="23">
        <v>1780.19</v>
      </c>
      <c r="G92" s="2" t="b">
        <v>1</v>
      </c>
      <c r="H92" s="2">
        <v>0</v>
      </c>
      <c r="I92" s="1"/>
    </row>
    <row r="93" spans="2:9">
      <c r="B93" s="22">
        <v>2320</v>
      </c>
      <c r="C93" s="22">
        <v>397.18</v>
      </c>
      <c r="D93" s="22">
        <v>131.02000000000001</v>
      </c>
      <c r="E93" s="22">
        <v>1791.8</v>
      </c>
      <c r="F93" s="23"/>
      <c r="G93" s="2" t="b">
        <v>0</v>
      </c>
      <c r="H93" s="2"/>
      <c r="I93" s="1"/>
    </row>
    <row r="94" spans="2:9">
      <c r="B94" s="22">
        <v>2340</v>
      </c>
      <c r="C94" s="22">
        <v>400.61</v>
      </c>
      <c r="D94" s="22">
        <v>135.99</v>
      </c>
      <c r="E94" s="22">
        <v>1803.4</v>
      </c>
      <c r="F94" s="23"/>
      <c r="G94" s="2" t="b">
        <v>0</v>
      </c>
      <c r="H94" s="2"/>
      <c r="I94" s="1"/>
    </row>
    <row r="95" spans="2:9">
      <c r="B95" s="22">
        <v>2360</v>
      </c>
      <c r="C95" s="22">
        <v>404.03</v>
      </c>
      <c r="D95" s="22">
        <v>140.97</v>
      </c>
      <c r="E95" s="22">
        <v>1815</v>
      </c>
      <c r="F95" s="23"/>
      <c r="G95" s="2" t="b">
        <v>0</v>
      </c>
      <c r="H95" s="2"/>
      <c r="I95" s="1"/>
    </row>
    <row r="96" spans="2:9">
      <c r="B96" s="22">
        <v>2380</v>
      </c>
      <c r="C96" s="22">
        <v>407.46</v>
      </c>
      <c r="D96" s="22">
        <v>145.94</v>
      </c>
      <c r="E96" s="22">
        <v>1826.6</v>
      </c>
      <c r="F96" s="23"/>
      <c r="G96" s="2" t="b">
        <v>0</v>
      </c>
      <c r="H96" s="2"/>
      <c r="I96" s="1"/>
    </row>
    <row r="97" spans="2:9">
      <c r="B97" s="22">
        <v>2400</v>
      </c>
      <c r="C97" s="22">
        <v>410.88</v>
      </c>
      <c r="D97" s="22">
        <v>150.91</v>
      </c>
      <c r="E97" s="22">
        <v>1838.21</v>
      </c>
      <c r="F97" s="23">
        <v>1838.2</v>
      </c>
      <c r="G97" s="2" t="b">
        <v>0</v>
      </c>
      <c r="H97" s="2">
        <v>9.9999999999909051E-3</v>
      </c>
      <c r="I97" s="1"/>
    </row>
    <row r="98" spans="2:9">
      <c r="B98" s="22">
        <v>2420</v>
      </c>
      <c r="C98" s="22">
        <v>414.3</v>
      </c>
      <c r="D98" s="22">
        <v>155.88999999999999</v>
      </c>
      <c r="E98" s="22">
        <v>1849.81</v>
      </c>
      <c r="F98" s="23"/>
      <c r="G98" s="2" t="b">
        <v>0</v>
      </c>
      <c r="H98" s="2"/>
      <c r="I98" s="1"/>
    </row>
    <row r="99" spans="2:9">
      <c r="B99" s="22">
        <v>2440</v>
      </c>
      <c r="C99" s="22">
        <v>417.73</v>
      </c>
      <c r="D99" s="22">
        <v>160.86000000000001</v>
      </c>
      <c r="E99" s="22">
        <v>1861.41</v>
      </c>
      <c r="F99" s="23"/>
      <c r="G99" s="2" t="b">
        <v>0</v>
      </c>
      <c r="H99" s="2"/>
      <c r="I99" s="1"/>
    </row>
    <row r="100" spans="2:9">
      <c r="B100" s="22">
        <v>2460</v>
      </c>
      <c r="C100" s="22">
        <v>444.52</v>
      </c>
      <c r="D100" s="22">
        <v>158.82</v>
      </c>
      <c r="E100" s="22">
        <v>1856.66</v>
      </c>
      <c r="F100" s="23"/>
      <c r="G100" s="2" t="b">
        <v>0</v>
      </c>
      <c r="H100" s="2"/>
      <c r="I100" s="1"/>
    </row>
    <row r="101" spans="2:9">
      <c r="B101" s="22">
        <v>2480</v>
      </c>
      <c r="C101" s="22">
        <v>448.14</v>
      </c>
      <c r="D101" s="22">
        <v>163.72999999999999</v>
      </c>
      <c r="E101" s="22">
        <v>1868.13</v>
      </c>
      <c r="F101" s="23"/>
      <c r="G101" s="2" t="b">
        <v>0</v>
      </c>
      <c r="H101" s="2"/>
      <c r="I101" s="1"/>
    </row>
    <row r="102" spans="2:9">
      <c r="B102" s="22">
        <v>2500</v>
      </c>
      <c r="C102" s="22">
        <v>451.75</v>
      </c>
      <c r="D102" s="22">
        <v>168.65</v>
      </c>
      <c r="E102" s="22">
        <v>1879.6</v>
      </c>
      <c r="F102" s="23">
        <v>1879.59</v>
      </c>
      <c r="G102" s="2" t="b">
        <v>0</v>
      </c>
      <c r="H102" s="2">
        <v>9.9999999999909051E-3</v>
      </c>
      <c r="I102" s="1"/>
    </row>
    <row r="103" spans="2:9">
      <c r="B103" s="22">
        <v>2520</v>
      </c>
      <c r="C103" s="22">
        <v>455.36</v>
      </c>
      <c r="D103" s="22">
        <v>173.57</v>
      </c>
      <c r="E103" s="22">
        <v>1891.07</v>
      </c>
      <c r="F103" s="23"/>
      <c r="G103" s="2" t="b">
        <v>0</v>
      </c>
      <c r="H103" s="2"/>
      <c r="I103" s="1"/>
    </row>
    <row r="104" spans="2:9">
      <c r="B104" s="22">
        <v>2540</v>
      </c>
      <c r="C104" s="22">
        <v>458.98</v>
      </c>
      <c r="D104" s="22">
        <v>178.48</v>
      </c>
      <c r="E104" s="22">
        <v>1902.54</v>
      </c>
      <c r="F104" s="23"/>
      <c r="G104" s="2" t="b">
        <v>0</v>
      </c>
      <c r="H104" s="2"/>
      <c r="I104" s="1"/>
    </row>
    <row r="105" spans="2:9">
      <c r="B105" s="22">
        <v>2560</v>
      </c>
      <c r="C105" s="22">
        <v>462.59</v>
      </c>
      <c r="D105" s="22">
        <v>183.4</v>
      </c>
      <c r="E105" s="22">
        <v>1914.01</v>
      </c>
      <c r="F105" s="23"/>
      <c r="G105" s="2" t="b">
        <v>0</v>
      </c>
      <c r="H105" s="2"/>
      <c r="I105" s="1"/>
    </row>
    <row r="106" spans="2:9">
      <c r="B106" s="22">
        <v>2580</v>
      </c>
      <c r="C106" s="22">
        <v>466.21</v>
      </c>
      <c r="D106" s="22">
        <v>188.31</v>
      </c>
      <c r="E106" s="22">
        <v>1925.48</v>
      </c>
      <c r="F106" s="23"/>
      <c r="G106" s="2" t="b">
        <v>0</v>
      </c>
      <c r="H106" s="2"/>
      <c r="I106" s="1"/>
    </row>
    <row r="107" spans="2:9">
      <c r="B107" s="22">
        <v>2600</v>
      </c>
      <c r="C107" s="22">
        <v>469.82</v>
      </c>
      <c r="D107" s="22">
        <v>193.23</v>
      </c>
      <c r="E107" s="22">
        <v>1936.95</v>
      </c>
      <c r="F107" s="23">
        <v>1936.95</v>
      </c>
      <c r="G107" s="2" t="b">
        <v>1</v>
      </c>
      <c r="H107" s="2">
        <v>0</v>
      </c>
      <c r="I107" s="1"/>
    </row>
    <row r="108" spans="2:9">
      <c r="B108" s="22">
        <v>2620</v>
      </c>
      <c r="C108" s="22">
        <v>473.43</v>
      </c>
      <c r="D108" s="22">
        <v>198.15</v>
      </c>
      <c r="E108" s="22">
        <v>1948.42</v>
      </c>
      <c r="F108" s="23"/>
      <c r="G108" s="2" t="b">
        <v>0</v>
      </c>
      <c r="H108" s="2"/>
      <c r="I108" s="1"/>
    </row>
    <row r="109" spans="2:9">
      <c r="B109" s="22">
        <v>2640</v>
      </c>
      <c r="C109" s="22">
        <v>477.05</v>
      </c>
      <c r="D109" s="22">
        <v>203.06</v>
      </c>
      <c r="E109" s="22">
        <v>1959.89</v>
      </c>
      <c r="F109" s="23"/>
      <c r="G109" s="2" t="b">
        <v>0</v>
      </c>
      <c r="H109" s="2"/>
      <c r="I109" s="1"/>
    </row>
    <row r="110" spans="2:9">
      <c r="B110" s="22">
        <v>2660</v>
      </c>
      <c r="C110" s="22">
        <v>480.66</v>
      </c>
      <c r="D110" s="22">
        <v>207.98</v>
      </c>
      <c r="E110" s="22">
        <v>1971.36</v>
      </c>
      <c r="F110" s="23"/>
      <c r="G110" s="2" t="b">
        <v>0</v>
      </c>
      <c r="H110" s="2"/>
      <c r="I110" s="1"/>
    </row>
    <row r="111" spans="2:9">
      <c r="B111" s="22">
        <v>2680</v>
      </c>
      <c r="C111" s="22">
        <v>484.28</v>
      </c>
      <c r="D111" s="22">
        <v>212.89</v>
      </c>
      <c r="E111" s="22">
        <v>1982.83</v>
      </c>
      <c r="F111" s="23"/>
      <c r="G111" s="2" t="b">
        <v>0</v>
      </c>
      <c r="H111" s="2"/>
      <c r="I111" s="1"/>
    </row>
    <row r="112" spans="2:9">
      <c r="B112" s="22">
        <v>2700</v>
      </c>
      <c r="C112" s="22">
        <v>487.89</v>
      </c>
      <c r="D112" s="22">
        <v>217.81</v>
      </c>
      <c r="E112" s="22">
        <v>1994.3</v>
      </c>
      <c r="F112" s="23">
        <v>1994.3</v>
      </c>
      <c r="G112" s="2" t="b">
        <v>1</v>
      </c>
      <c r="H112" s="2">
        <v>0</v>
      </c>
      <c r="I112" s="1"/>
    </row>
    <row r="113" spans="2:9">
      <c r="B113" s="22">
        <v>2720</v>
      </c>
      <c r="C113" s="22">
        <v>491.5</v>
      </c>
      <c r="D113" s="22">
        <v>222.73</v>
      </c>
      <c r="E113" s="22">
        <v>2005.77</v>
      </c>
      <c r="F113" s="23"/>
      <c r="G113" s="2" t="b">
        <v>0</v>
      </c>
      <c r="H113" s="2"/>
      <c r="I113" s="1"/>
    </row>
    <row r="114" spans="2:9">
      <c r="B114" s="22">
        <v>2740</v>
      </c>
      <c r="C114" s="22">
        <v>495.12</v>
      </c>
      <c r="D114" s="22">
        <v>227.64</v>
      </c>
      <c r="E114" s="22">
        <v>2017.24</v>
      </c>
      <c r="F114" s="23"/>
      <c r="G114" s="2" t="b">
        <v>0</v>
      </c>
      <c r="H114" s="2"/>
      <c r="I114" s="1"/>
    </row>
    <row r="115" spans="2:9">
      <c r="B115" s="22">
        <v>2760</v>
      </c>
      <c r="C115" s="22">
        <v>498.73</v>
      </c>
      <c r="D115" s="22">
        <v>232.56</v>
      </c>
      <c r="E115" s="22">
        <v>2028.71</v>
      </c>
      <c r="F115" s="23"/>
      <c r="G115" s="2" t="b">
        <v>0</v>
      </c>
      <c r="H115" s="2"/>
      <c r="I115" s="1"/>
    </row>
    <row r="116" spans="2:9">
      <c r="B116" s="22">
        <v>2780</v>
      </c>
      <c r="C116" s="22">
        <v>502.35</v>
      </c>
      <c r="D116" s="22">
        <v>237.47</v>
      </c>
      <c r="E116" s="22">
        <v>2040.18</v>
      </c>
      <c r="F116" s="23"/>
      <c r="G116" s="2" t="b">
        <v>0</v>
      </c>
      <c r="H116" s="2"/>
      <c r="I116" s="1"/>
    </row>
    <row r="117" spans="2:9">
      <c r="B117" s="22">
        <v>2800</v>
      </c>
      <c r="C117" s="22">
        <v>505.96</v>
      </c>
      <c r="D117" s="22">
        <v>242.39</v>
      </c>
      <c r="E117" s="22">
        <v>2051.65</v>
      </c>
      <c r="F117" s="23">
        <v>2051.65</v>
      </c>
      <c r="G117" s="2" t="b">
        <v>1</v>
      </c>
      <c r="H117" s="2">
        <v>0</v>
      </c>
      <c r="I117" s="1"/>
    </row>
    <row r="118" spans="2:9">
      <c r="B118" s="22">
        <v>2820</v>
      </c>
      <c r="C118" s="22">
        <v>509.57</v>
      </c>
      <c r="D118" s="22">
        <v>247.3</v>
      </c>
      <c r="E118" s="22">
        <v>2063.13</v>
      </c>
      <c r="F118" s="23"/>
      <c r="G118" s="2" t="b">
        <v>0</v>
      </c>
      <c r="H118" s="2"/>
      <c r="I118" s="1"/>
    </row>
    <row r="119" spans="2:9">
      <c r="B119" s="22">
        <v>2840</v>
      </c>
      <c r="C119" s="22">
        <v>513.19000000000005</v>
      </c>
      <c r="D119" s="22">
        <v>252.22</v>
      </c>
      <c r="E119" s="22">
        <v>2074.59</v>
      </c>
      <c r="F119" s="23"/>
      <c r="G119" s="2" t="b">
        <v>0</v>
      </c>
      <c r="H119" s="2"/>
      <c r="I119" s="1"/>
    </row>
    <row r="120" spans="2:9">
      <c r="B120" s="22">
        <v>2860</v>
      </c>
      <c r="C120" s="22">
        <v>516.79999999999995</v>
      </c>
      <c r="D120" s="22">
        <v>257.14</v>
      </c>
      <c r="E120" s="22">
        <v>2086.06</v>
      </c>
      <c r="F120" s="23"/>
      <c r="G120" s="2" t="b">
        <v>0</v>
      </c>
      <c r="H120" s="2"/>
      <c r="I120" s="1"/>
    </row>
    <row r="121" spans="2:9">
      <c r="B121" s="22">
        <v>2880</v>
      </c>
      <c r="C121" s="22">
        <v>520.41999999999996</v>
      </c>
      <c r="D121" s="22">
        <v>262.05</v>
      </c>
      <c r="E121" s="22">
        <v>2097.5300000000002</v>
      </c>
      <c r="F121" s="23"/>
      <c r="G121" s="2" t="b">
        <v>0</v>
      </c>
      <c r="H121" s="2"/>
      <c r="I121" s="1"/>
    </row>
    <row r="122" spans="2:9">
      <c r="B122" s="22">
        <v>2900</v>
      </c>
      <c r="C122" s="22">
        <v>524.03</v>
      </c>
      <c r="D122" s="22">
        <v>266.97000000000003</v>
      </c>
      <c r="E122" s="22">
        <v>2109</v>
      </c>
      <c r="F122" s="23">
        <v>2109</v>
      </c>
      <c r="G122" s="2" t="b">
        <v>1</v>
      </c>
      <c r="H122" s="2">
        <v>0</v>
      </c>
      <c r="I122" s="1"/>
    </row>
    <row r="123" spans="2:9">
      <c r="B123" s="22">
        <v>2920</v>
      </c>
      <c r="C123" s="22">
        <v>527.64</v>
      </c>
      <c r="D123" s="22">
        <v>271.88</v>
      </c>
      <c r="E123" s="22">
        <v>2120.48</v>
      </c>
      <c r="F123" s="23"/>
      <c r="G123" s="2" t="b">
        <v>0</v>
      </c>
      <c r="H123" s="2"/>
      <c r="I123" s="1"/>
    </row>
    <row r="124" spans="2:9">
      <c r="B124" s="22">
        <v>2940</v>
      </c>
      <c r="C124" s="22">
        <v>531.26</v>
      </c>
      <c r="D124" s="22">
        <v>276.8</v>
      </c>
      <c r="E124" s="22">
        <v>2131.94</v>
      </c>
      <c r="F124" s="23"/>
      <c r="G124" s="2" t="b">
        <v>0</v>
      </c>
      <c r="H124" s="2"/>
      <c r="I124" s="1"/>
    </row>
    <row r="125" spans="2:9">
      <c r="B125" s="22">
        <v>2960</v>
      </c>
      <c r="C125" s="22">
        <v>534.87</v>
      </c>
      <c r="D125" s="22">
        <v>281.70999999999998</v>
      </c>
      <c r="E125" s="22">
        <v>2143.42</v>
      </c>
      <c r="F125" s="23"/>
      <c r="G125" s="2" t="b">
        <v>0</v>
      </c>
      <c r="H125" s="2"/>
      <c r="I125" s="1"/>
    </row>
    <row r="126" spans="2:9">
      <c r="B126" s="22">
        <v>2980</v>
      </c>
      <c r="C126" s="22">
        <v>538.49</v>
      </c>
      <c r="D126" s="22">
        <v>286.63</v>
      </c>
      <c r="E126" s="22">
        <v>2154.88</v>
      </c>
      <c r="F126" s="23"/>
      <c r="G126" s="2" t="b">
        <v>0</v>
      </c>
      <c r="H126" s="2"/>
      <c r="I126" s="1"/>
    </row>
    <row r="127" spans="2:9">
      <c r="B127" s="22">
        <v>3000</v>
      </c>
      <c r="C127" s="22">
        <v>542.1</v>
      </c>
      <c r="D127" s="22">
        <v>291.55</v>
      </c>
      <c r="E127" s="22">
        <v>2166.35</v>
      </c>
      <c r="F127" s="23">
        <v>2166.35</v>
      </c>
      <c r="G127" s="2" t="b">
        <v>1</v>
      </c>
      <c r="H127" s="2">
        <v>0</v>
      </c>
      <c r="I127" s="1"/>
    </row>
    <row r="128" spans="2:9">
      <c r="B128" s="22">
        <v>3020</v>
      </c>
      <c r="C128" s="22">
        <v>545.71</v>
      </c>
      <c r="D128" s="22">
        <v>296.45999999999998</v>
      </c>
      <c r="E128" s="22">
        <v>2177.83</v>
      </c>
      <c r="F128" s="23"/>
      <c r="G128" s="2" t="b">
        <v>0</v>
      </c>
      <c r="H128" s="2"/>
      <c r="I128" s="1"/>
    </row>
    <row r="129" spans="2:9">
      <c r="B129" s="22">
        <v>3040</v>
      </c>
      <c r="C129" s="22">
        <v>549.33000000000004</v>
      </c>
      <c r="D129" s="22">
        <v>301.38</v>
      </c>
      <c r="E129" s="22">
        <v>2189.29</v>
      </c>
      <c r="F129" s="23"/>
      <c r="G129" s="2" t="b">
        <v>0</v>
      </c>
      <c r="H129" s="2"/>
      <c r="I129" s="1"/>
    </row>
    <row r="130" spans="2:9">
      <c r="B130" s="22">
        <v>3060</v>
      </c>
      <c r="C130" s="22">
        <v>552.94000000000005</v>
      </c>
      <c r="D130" s="22">
        <v>306.29000000000002</v>
      </c>
      <c r="E130" s="22">
        <v>2200.77</v>
      </c>
      <c r="F130" s="23"/>
      <c r="G130" s="2" t="b">
        <v>0</v>
      </c>
      <c r="H130" s="2"/>
      <c r="I130" s="1"/>
    </row>
    <row r="131" spans="2:9">
      <c r="B131" s="22">
        <v>3080</v>
      </c>
      <c r="C131" s="22">
        <v>556.55999999999995</v>
      </c>
      <c r="D131" s="22">
        <v>311.20999999999998</v>
      </c>
      <c r="E131" s="22">
        <v>2212.23</v>
      </c>
      <c r="F131" s="23"/>
      <c r="G131" s="2" t="b">
        <v>0</v>
      </c>
      <c r="H131" s="2"/>
      <c r="I131" s="1"/>
    </row>
    <row r="132" spans="2:9">
      <c r="B132" s="22">
        <v>3100</v>
      </c>
      <c r="C132" s="22">
        <v>560.16999999999996</v>
      </c>
      <c r="D132" s="22">
        <v>316.12</v>
      </c>
      <c r="E132" s="22">
        <v>2223.71</v>
      </c>
      <c r="F132" s="23">
        <v>2223.6999999999998</v>
      </c>
      <c r="G132" s="2" t="b">
        <v>0</v>
      </c>
      <c r="H132" s="2">
        <v>1.0000000000218279E-2</v>
      </c>
      <c r="I132" s="1"/>
    </row>
    <row r="133" spans="2:9">
      <c r="B133" s="22">
        <v>3120</v>
      </c>
      <c r="C133" s="22">
        <v>563.78</v>
      </c>
      <c r="D133" s="22">
        <v>321.04000000000002</v>
      </c>
      <c r="E133" s="22">
        <v>2235.1799999999998</v>
      </c>
      <c r="F133" s="23"/>
      <c r="G133" s="2" t="b">
        <v>0</v>
      </c>
      <c r="H133" s="2"/>
      <c r="I133" s="1"/>
    </row>
    <row r="134" spans="2:9">
      <c r="B134" s="22">
        <v>3140</v>
      </c>
      <c r="C134" s="22">
        <v>567.4</v>
      </c>
      <c r="D134" s="22">
        <v>325.95999999999998</v>
      </c>
      <c r="E134" s="22">
        <v>2246.64</v>
      </c>
      <c r="F134" s="23"/>
      <c r="G134" s="2" t="b">
        <v>0</v>
      </c>
      <c r="H134" s="2"/>
      <c r="I134" s="1"/>
    </row>
    <row r="135" spans="2:9">
      <c r="B135" s="22">
        <v>3160</v>
      </c>
      <c r="C135" s="22">
        <v>571.01</v>
      </c>
      <c r="D135" s="22">
        <v>330.87</v>
      </c>
      <c r="E135" s="22">
        <v>2258.12</v>
      </c>
      <c r="F135" s="23"/>
      <c r="G135" s="2" t="b">
        <v>0</v>
      </c>
      <c r="H135" s="2"/>
      <c r="I135" s="1"/>
    </row>
    <row r="136" spans="2:9">
      <c r="B136" s="22">
        <v>3180</v>
      </c>
      <c r="C136" s="22">
        <v>574.63</v>
      </c>
      <c r="D136" s="22">
        <v>335.79</v>
      </c>
      <c r="E136" s="22">
        <v>2269.58</v>
      </c>
      <c r="F136" s="23"/>
      <c r="G136" s="2" t="b">
        <v>0</v>
      </c>
      <c r="H136" s="2"/>
      <c r="I136" s="1"/>
    </row>
    <row r="137" spans="2:9">
      <c r="B137" s="22">
        <v>3200</v>
      </c>
      <c r="C137" s="22">
        <v>578.24</v>
      </c>
      <c r="D137" s="22">
        <v>340.7</v>
      </c>
      <c r="E137" s="22">
        <v>2281.06</v>
      </c>
      <c r="F137" s="23">
        <v>2281.0500000000002</v>
      </c>
      <c r="G137" s="2" t="b">
        <v>0</v>
      </c>
      <c r="H137" s="2">
        <v>9.9999999997635314E-3</v>
      </c>
      <c r="I137" s="1"/>
    </row>
    <row r="138" spans="2:9">
      <c r="B138" s="22">
        <v>3220</v>
      </c>
      <c r="C138" s="22">
        <v>581.85</v>
      </c>
      <c r="D138" s="22">
        <v>345.62</v>
      </c>
      <c r="E138" s="22">
        <v>2292.5300000000002</v>
      </c>
      <c r="F138" s="23"/>
      <c r="G138" s="2" t="b">
        <v>0</v>
      </c>
      <c r="H138" s="2"/>
      <c r="I138" s="1"/>
    </row>
    <row r="139" spans="2:9">
      <c r="B139" s="22">
        <v>3240</v>
      </c>
      <c r="C139" s="22">
        <v>585.47</v>
      </c>
      <c r="D139" s="22">
        <v>350.53</v>
      </c>
      <c r="E139" s="22">
        <v>2304</v>
      </c>
      <c r="F139" s="23"/>
      <c r="G139" s="2" t="b">
        <v>0</v>
      </c>
      <c r="H139" s="2"/>
      <c r="I139" s="1"/>
    </row>
    <row r="140" spans="2:9">
      <c r="B140" s="22">
        <v>3260</v>
      </c>
      <c r="C140" s="22">
        <v>589.08000000000004</v>
      </c>
      <c r="D140" s="22">
        <v>355.45</v>
      </c>
      <c r="E140" s="22">
        <v>2315.4699999999998</v>
      </c>
      <c r="F140" s="23"/>
      <c r="G140" s="2" t="b">
        <v>0</v>
      </c>
      <c r="H140" s="2"/>
      <c r="I140" s="1"/>
    </row>
    <row r="141" spans="2:9">
      <c r="B141" s="22">
        <v>3280</v>
      </c>
      <c r="C141" s="22">
        <v>592.70000000000005</v>
      </c>
      <c r="D141" s="22">
        <v>360.37</v>
      </c>
      <c r="E141" s="22">
        <v>2326.9299999999998</v>
      </c>
      <c r="F141" s="23"/>
      <c r="G141" s="2" t="b">
        <v>0</v>
      </c>
      <c r="H141" s="2"/>
      <c r="I141" s="1"/>
    </row>
    <row r="142" spans="2:9">
      <c r="B142" s="22">
        <v>3300</v>
      </c>
      <c r="C142" s="22">
        <v>596.30999999999995</v>
      </c>
      <c r="D142" s="22">
        <v>365.28</v>
      </c>
      <c r="E142" s="22">
        <v>2338.41</v>
      </c>
      <c r="F142" s="23">
        <v>2338.4</v>
      </c>
      <c r="G142" s="2" t="b">
        <v>0</v>
      </c>
      <c r="H142" s="2">
        <v>9.9999999997635314E-3</v>
      </c>
      <c r="I142" s="1"/>
    </row>
    <row r="143" spans="2:9">
      <c r="B143" s="22">
        <v>3320</v>
      </c>
      <c r="C143" s="22">
        <v>599.91999999999996</v>
      </c>
      <c r="D143" s="22">
        <v>370.2</v>
      </c>
      <c r="E143" s="22">
        <v>2349.88</v>
      </c>
      <c r="F143" s="23"/>
      <c r="G143" s="2" t="b">
        <v>0</v>
      </c>
      <c r="H143" s="2"/>
      <c r="I143" s="1"/>
    </row>
    <row r="144" spans="2:9">
      <c r="B144" s="22">
        <v>3340</v>
      </c>
      <c r="C144" s="22">
        <v>603.54</v>
      </c>
      <c r="D144" s="22">
        <v>375.11</v>
      </c>
      <c r="E144" s="22">
        <v>2361.35</v>
      </c>
      <c r="F144" s="23"/>
      <c r="G144" s="2" t="b">
        <v>0</v>
      </c>
      <c r="H144" s="2"/>
      <c r="I144" s="1"/>
    </row>
    <row r="145" spans="2:9">
      <c r="B145" s="22">
        <v>3360</v>
      </c>
      <c r="C145" s="22">
        <v>607.15</v>
      </c>
      <c r="D145" s="22">
        <v>380.03</v>
      </c>
      <c r="E145" s="22">
        <v>2372.8200000000002</v>
      </c>
      <c r="F145" s="23"/>
      <c r="G145" s="2" t="b">
        <v>0</v>
      </c>
      <c r="H145" s="2"/>
      <c r="I145" s="1"/>
    </row>
    <row r="146" spans="2:9">
      <c r="B146" s="22">
        <v>3380</v>
      </c>
      <c r="C146" s="22">
        <v>610.77</v>
      </c>
      <c r="D146" s="22">
        <v>384.94</v>
      </c>
      <c r="E146" s="22">
        <v>2384.29</v>
      </c>
      <c r="F146" s="23"/>
      <c r="G146" s="2" t="b">
        <v>0</v>
      </c>
      <c r="H146" s="2"/>
      <c r="I146" s="1"/>
    </row>
    <row r="147" spans="2:9">
      <c r="B147" s="22">
        <v>3400</v>
      </c>
      <c r="C147" s="22">
        <v>614.38</v>
      </c>
      <c r="D147" s="22">
        <v>389.86</v>
      </c>
      <c r="E147" s="22">
        <v>2395.7600000000002</v>
      </c>
      <c r="F147" s="23">
        <v>2395.75</v>
      </c>
      <c r="G147" s="2" t="b">
        <v>0</v>
      </c>
      <c r="H147" s="2">
        <v>1.0000000000218279E-2</v>
      </c>
      <c r="I147" s="1"/>
    </row>
    <row r="148" spans="2:9">
      <c r="B148" s="22">
        <v>3420</v>
      </c>
      <c r="C148" s="22">
        <v>617.99</v>
      </c>
      <c r="D148" s="22">
        <v>394.78</v>
      </c>
      <c r="E148" s="22">
        <v>2407.23</v>
      </c>
      <c r="F148" s="23"/>
      <c r="G148" s="2" t="b">
        <v>0</v>
      </c>
      <c r="H148" s="2"/>
      <c r="I148" s="1"/>
    </row>
    <row r="149" spans="2:9">
      <c r="B149" s="22">
        <v>3440</v>
      </c>
      <c r="C149" s="22">
        <v>621.61</v>
      </c>
      <c r="D149" s="22">
        <v>399.69</v>
      </c>
      <c r="E149" s="22">
        <v>2418.6999999999998</v>
      </c>
      <c r="F149" s="23"/>
      <c r="G149" s="2" t="b">
        <v>0</v>
      </c>
      <c r="H149" s="2"/>
      <c r="I149" s="1"/>
    </row>
    <row r="150" spans="2:9">
      <c r="B150" s="22">
        <v>3460</v>
      </c>
      <c r="C150" s="22">
        <v>625.22</v>
      </c>
      <c r="D150" s="22">
        <v>404.61</v>
      </c>
      <c r="E150" s="22">
        <v>2430.17</v>
      </c>
      <c r="F150" s="23"/>
      <c r="G150" s="2" t="b">
        <v>0</v>
      </c>
      <c r="H150" s="2"/>
      <c r="I150" s="1"/>
    </row>
    <row r="151" spans="2:9">
      <c r="B151" s="22">
        <v>3480</v>
      </c>
      <c r="C151" s="22">
        <v>628.84</v>
      </c>
      <c r="D151" s="22">
        <v>409.52</v>
      </c>
      <c r="E151" s="22">
        <v>2441.64</v>
      </c>
      <c r="F151" s="23"/>
      <c r="G151" s="2" t="b">
        <v>0</v>
      </c>
      <c r="H151" s="2"/>
      <c r="I151" s="1"/>
    </row>
    <row r="152" spans="2:9">
      <c r="B152" s="22">
        <v>3500</v>
      </c>
      <c r="C152" s="22">
        <v>632.45000000000005</v>
      </c>
      <c r="D152" s="22">
        <v>414.44</v>
      </c>
      <c r="E152" s="22">
        <v>2453.11</v>
      </c>
      <c r="F152" s="23">
        <v>2453.11</v>
      </c>
      <c r="G152" s="2" t="b">
        <v>1</v>
      </c>
      <c r="H152" s="2">
        <v>0</v>
      </c>
      <c r="I152" s="1"/>
    </row>
    <row r="153" spans="2:9">
      <c r="B153" s="22">
        <v>3520</v>
      </c>
      <c r="C153" s="22">
        <v>636.05999999999995</v>
      </c>
      <c r="D153" s="22">
        <v>419.36</v>
      </c>
      <c r="E153" s="22">
        <v>2464.58</v>
      </c>
      <c r="F153" s="23"/>
      <c r="G153" s="2" t="b">
        <v>0</v>
      </c>
      <c r="H153" s="2"/>
      <c r="I153" s="1"/>
    </row>
    <row r="154" spans="2:9">
      <c r="B154" s="22">
        <v>3540</v>
      </c>
      <c r="C154" s="22">
        <v>639.67999999999995</v>
      </c>
      <c r="D154" s="22">
        <v>424.27</v>
      </c>
      <c r="E154" s="22">
        <v>2476.0500000000002</v>
      </c>
      <c r="F154" s="23"/>
      <c r="G154" s="2" t="b">
        <v>0</v>
      </c>
      <c r="H154" s="2"/>
      <c r="I154" s="1"/>
    </row>
    <row r="155" spans="2:9">
      <c r="B155" s="22">
        <v>3560</v>
      </c>
      <c r="C155" s="22">
        <v>643.29</v>
      </c>
      <c r="D155" s="22">
        <v>429.19</v>
      </c>
      <c r="E155" s="22">
        <v>2487.52</v>
      </c>
      <c r="F155" s="23"/>
      <c r="G155" s="2" t="b">
        <v>0</v>
      </c>
      <c r="H155" s="2"/>
      <c r="I155" s="1"/>
    </row>
    <row r="156" spans="2:9">
      <c r="B156" s="22">
        <v>3580</v>
      </c>
      <c r="C156" s="22">
        <v>646.91</v>
      </c>
      <c r="D156" s="22">
        <v>434.1</v>
      </c>
      <c r="E156" s="22">
        <v>2498.9899999999998</v>
      </c>
      <c r="F156" s="23"/>
      <c r="G156" s="2" t="b">
        <v>0</v>
      </c>
      <c r="H156" s="2"/>
      <c r="I156" s="1"/>
    </row>
    <row r="157" spans="2:9">
      <c r="B157" s="22">
        <v>3600</v>
      </c>
      <c r="C157" s="22">
        <v>650.52</v>
      </c>
      <c r="D157" s="22">
        <v>439.02</v>
      </c>
      <c r="E157" s="22">
        <v>2510.46</v>
      </c>
      <c r="F157" s="23">
        <v>2510.46</v>
      </c>
      <c r="G157" s="2" t="b">
        <v>1</v>
      </c>
      <c r="H157" s="2">
        <v>0</v>
      </c>
      <c r="I157" s="1"/>
    </row>
    <row r="158" spans="2:9">
      <c r="B158" s="22">
        <v>3620</v>
      </c>
      <c r="C158" s="22">
        <v>654.13</v>
      </c>
      <c r="D158" s="22">
        <v>443.94</v>
      </c>
      <c r="E158" s="22">
        <v>2521.9299999999998</v>
      </c>
      <c r="F158" s="23"/>
      <c r="G158" s="2" t="b">
        <v>0</v>
      </c>
      <c r="H158" s="2"/>
      <c r="I158" s="1"/>
    </row>
    <row r="159" spans="2:9">
      <c r="B159" s="22">
        <v>3640</v>
      </c>
      <c r="C159" s="22">
        <v>657.75</v>
      </c>
      <c r="D159" s="22">
        <v>448.85</v>
      </c>
      <c r="E159" s="22">
        <v>2533.4</v>
      </c>
      <c r="F159" s="23"/>
      <c r="G159" s="2" t="b">
        <v>0</v>
      </c>
      <c r="H159" s="2"/>
      <c r="I159" s="1"/>
    </row>
    <row r="160" spans="2:9">
      <c r="B160" s="22">
        <v>3660</v>
      </c>
      <c r="C160" s="22">
        <v>661.36</v>
      </c>
      <c r="D160" s="22">
        <v>453.9</v>
      </c>
      <c r="E160" s="22">
        <v>2544.7399999999998</v>
      </c>
      <c r="F160" s="23"/>
      <c r="G160" s="2" t="b">
        <v>0</v>
      </c>
      <c r="H160" s="2"/>
      <c r="I160" s="1"/>
    </row>
    <row r="161" spans="2:9">
      <c r="B161" s="22">
        <v>3680</v>
      </c>
      <c r="C161" s="22">
        <v>664.98</v>
      </c>
      <c r="D161" s="22">
        <v>460.45</v>
      </c>
      <c r="E161" s="22">
        <v>2554.5700000000002</v>
      </c>
      <c r="F161" s="23"/>
      <c r="G161" s="2" t="b">
        <v>0</v>
      </c>
      <c r="H161" s="2"/>
      <c r="I161" s="1"/>
    </row>
    <row r="162" spans="2:9">
      <c r="B162" s="22">
        <v>3700</v>
      </c>
      <c r="C162" s="22">
        <v>668.59</v>
      </c>
      <c r="D162" s="22">
        <v>467.01</v>
      </c>
      <c r="E162" s="22">
        <v>2564.4</v>
      </c>
      <c r="F162" s="23">
        <v>2564.41</v>
      </c>
      <c r="G162" s="2" t="b">
        <v>0</v>
      </c>
      <c r="H162" s="2">
        <v>-9.9999999997635314E-3</v>
      </c>
      <c r="I162" s="1"/>
    </row>
    <row r="163" spans="2:9">
      <c r="B163" s="22">
        <v>3720</v>
      </c>
      <c r="C163" s="22">
        <v>672.2</v>
      </c>
      <c r="D163" s="22">
        <v>473.56</v>
      </c>
      <c r="E163" s="22">
        <v>2574.2399999999998</v>
      </c>
      <c r="F163" s="23"/>
      <c r="G163" s="2" t="b">
        <v>0</v>
      </c>
      <c r="H163" s="2"/>
      <c r="I163" s="1"/>
    </row>
    <row r="164" spans="2:9">
      <c r="B164" s="22">
        <v>3740</v>
      </c>
      <c r="C164" s="22">
        <v>675.82</v>
      </c>
      <c r="D164" s="22">
        <v>480.11</v>
      </c>
      <c r="E164" s="22">
        <v>2584.0700000000002</v>
      </c>
      <c r="F164" s="23"/>
      <c r="G164" s="2" t="b">
        <v>0</v>
      </c>
      <c r="H164" s="2"/>
      <c r="I164" s="1"/>
    </row>
    <row r="165" spans="2:9">
      <c r="B165" s="22">
        <v>3760</v>
      </c>
      <c r="C165" s="22">
        <v>679.43</v>
      </c>
      <c r="D165" s="22">
        <v>486.67</v>
      </c>
      <c r="E165" s="22">
        <v>2593.9</v>
      </c>
      <c r="F165" s="23"/>
      <c r="G165" s="2" t="b">
        <v>0</v>
      </c>
      <c r="H165" s="2"/>
      <c r="I165" s="1"/>
    </row>
    <row r="166" spans="2:9">
      <c r="B166" s="22">
        <v>3780</v>
      </c>
      <c r="C166" s="22">
        <v>683.05</v>
      </c>
      <c r="D166" s="22">
        <v>493.22</v>
      </c>
      <c r="E166" s="22">
        <v>2603.73</v>
      </c>
      <c r="F166" s="23"/>
      <c r="G166" s="2" t="b">
        <v>0</v>
      </c>
      <c r="H166" s="2"/>
      <c r="I166" s="1"/>
    </row>
    <row r="167" spans="2:9">
      <c r="B167" s="22">
        <v>3800</v>
      </c>
      <c r="C167" s="22">
        <v>686.66</v>
      </c>
      <c r="D167" s="22">
        <v>499.78</v>
      </c>
      <c r="E167" s="22">
        <v>2613.56</v>
      </c>
      <c r="F167" s="23">
        <v>2613.56</v>
      </c>
      <c r="G167" s="2" t="b">
        <v>1</v>
      </c>
      <c r="H167" s="2">
        <v>0</v>
      </c>
      <c r="I167" s="1"/>
    </row>
    <row r="168" spans="2:9">
      <c r="B168" s="22">
        <v>3820</v>
      </c>
      <c r="C168" s="22">
        <v>690.27</v>
      </c>
      <c r="D168" s="22">
        <v>506.33</v>
      </c>
      <c r="E168" s="22">
        <v>2623.4</v>
      </c>
      <c r="F168" s="23"/>
      <c r="G168" s="2" t="b">
        <v>0</v>
      </c>
      <c r="H168" s="2"/>
      <c r="I168" s="1"/>
    </row>
    <row r="169" spans="2:9">
      <c r="B169" s="22">
        <v>3840</v>
      </c>
      <c r="C169" s="22">
        <v>693.89</v>
      </c>
      <c r="D169" s="22">
        <v>512.89</v>
      </c>
      <c r="E169" s="22">
        <v>2633.22</v>
      </c>
      <c r="F169" s="23"/>
      <c r="G169" s="2" t="b">
        <v>0</v>
      </c>
      <c r="H169" s="2"/>
      <c r="I169" s="1"/>
    </row>
    <row r="170" spans="2:9">
      <c r="B170" s="22">
        <v>3860</v>
      </c>
      <c r="C170" s="22">
        <v>697.5</v>
      </c>
      <c r="D170" s="22">
        <v>519.44000000000005</v>
      </c>
      <c r="E170" s="22">
        <v>2643.06</v>
      </c>
      <c r="F170" s="23"/>
      <c r="G170" s="2" t="b">
        <v>0</v>
      </c>
      <c r="H170" s="2"/>
      <c r="I170" s="1"/>
    </row>
    <row r="171" spans="2:9">
      <c r="B171" s="22">
        <v>3880</v>
      </c>
      <c r="C171" s="22">
        <v>701.12</v>
      </c>
      <c r="D171" s="22">
        <v>525.99</v>
      </c>
      <c r="E171" s="22">
        <v>2652.89</v>
      </c>
      <c r="F171" s="23"/>
      <c r="G171" s="2" t="b">
        <v>0</v>
      </c>
      <c r="H171" s="2"/>
      <c r="I171" s="1"/>
    </row>
    <row r="172" spans="2:9">
      <c r="B172" s="22">
        <v>3900</v>
      </c>
      <c r="C172" s="22">
        <v>704.73</v>
      </c>
      <c r="D172" s="22">
        <v>532.54999999999995</v>
      </c>
      <c r="E172" s="22">
        <v>2662.72</v>
      </c>
      <c r="F172" s="23">
        <v>2662.72</v>
      </c>
      <c r="G172" s="2" t="b">
        <v>1</v>
      </c>
      <c r="H172" s="2">
        <v>0</v>
      </c>
      <c r="I172" s="1"/>
    </row>
    <row r="173" spans="2:9">
      <c r="B173" s="22">
        <v>3920</v>
      </c>
      <c r="C173" s="22">
        <v>708.34</v>
      </c>
      <c r="D173" s="22">
        <v>539.11</v>
      </c>
      <c r="E173" s="22">
        <v>2672.55</v>
      </c>
      <c r="F173" s="23"/>
      <c r="G173" s="2" t="b">
        <v>0</v>
      </c>
      <c r="H173" s="2"/>
      <c r="I173" s="1"/>
    </row>
    <row r="174" spans="2:9">
      <c r="B174" s="22">
        <v>3940</v>
      </c>
      <c r="C174" s="22">
        <v>711.96</v>
      </c>
      <c r="D174" s="22">
        <v>545.66</v>
      </c>
      <c r="E174" s="22">
        <v>2682.38</v>
      </c>
      <c r="F174" s="23"/>
      <c r="G174" s="2" t="b">
        <v>0</v>
      </c>
      <c r="H174" s="2"/>
      <c r="I174" s="1"/>
    </row>
    <row r="175" spans="2:9">
      <c r="B175" s="22">
        <v>3960</v>
      </c>
      <c r="C175" s="22">
        <v>715.57</v>
      </c>
      <c r="D175" s="22">
        <v>552.21</v>
      </c>
      <c r="E175" s="22">
        <v>2692.22</v>
      </c>
      <c r="F175" s="23"/>
      <c r="G175" s="2" t="b">
        <v>0</v>
      </c>
      <c r="H175" s="2"/>
      <c r="I175" s="1"/>
    </row>
    <row r="176" spans="2:9">
      <c r="B176" s="22">
        <v>3980</v>
      </c>
      <c r="C176" s="22">
        <v>719.19</v>
      </c>
      <c r="D176" s="22">
        <v>558.77</v>
      </c>
      <c r="E176" s="22">
        <v>2702.04</v>
      </c>
      <c r="F176" s="23"/>
      <c r="G176" s="2" t="b">
        <v>0</v>
      </c>
      <c r="H176" s="2"/>
      <c r="I176" s="1"/>
    </row>
    <row r="177" spans="2:9">
      <c r="B177" s="22">
        <v>4000</v>
      </c>
      <c r="C177" s="22">
        <v>722.8</v>
      </c>
      <c r="D177" s="22">
        <v>565.32000000000005</v>
      </c>
      <c r="E177" s="22">
        <v>2711.88</v>
      </c>
      <c r="F177" s="23">
        <v>2711.88</v>
      </c>
      <c r="G177" s="2" t="b">
        <v>1</v>
      </c>
      <c r="H177" s="2">
        <v>0</v>
      </c>
      <c r="I177" s="1"/>
    </row>
    <row r="178" spans="2:9">
      <c r="B178" s="22">
        <v>4020</v>
      </c>
      <c r="C178" s="22">
        <v>726.41</v>
      </c>
      <c r="D178" s="22">
        <v>571.88</v>
      </c>
      <c r="E178" s="22">
        <v>2721.71</v>
      </c>
      <c r="F178" s="23"/>
      <c r="G178" s="2" t="b">
        <v>0</v>
      </c>
      <c r="H178" s="2"/>
      <c r="I178" s="1"/>
    </row>
    <row r="179" spans="2:9">
      <c r="B179" s="22">
        <v>4040</v>
      </c>
      <c r="C179" s="22">
        <v>730.03</v>
      </c>
      <c r="D179" s="22">
        <v>578.42999999999995</v>
      </c>
      <c r="E179" s="22">
        <v>2731.54</v>
      </c>
      <c r="F179" s="23"/>
      <c r="G179" s="2" t="b">
        <v>0</v>
      </c>
      <c r="H179" s="2"/>
      <c r="I179" s="1"/>
    </row>
    <row r="180" spans="2:9">
      <c r="B180" s="22">
        <v>4060</v>
      </c>
      <c r="C180" s="22">
        <v>733.64</v>
      </c>
      <c r="D180" s="22">
        <v>584.99</v>
      </c>
      <c r="E180" s="22">
        <v>2741.37</v>
      </c>
      <c r="F180" s="23"/>
      <c r="G180" s="2" t="b">
        <v>0</v>
      </c>
      <c r="H180" s="2"/>
      <c r="I180" s="1"/>
    </row>
    <row r="181" spans="2:9">
      <c r="B181" s="22">
        <v>4080</v>
      </c>
      <c r="C181" s="22">
        <v>737.26</v>
      </c>
      <c r="D181" s="22">
        <v>591.54</v>
      </c>
      <c r="E181" s="22">
        <v>2751.2</v>
      </c>
      <c r="F181" s="23"/>
      <c r="G181" s="2" t="b">
        <v>0</v>
      </c>
      <c r="H181" s="2"/>
      <c r="I181" s="1"/>
    </row>
    <row r="182" spans="2:9">
      <c r="B182" s="22">
        <v>4100</v>
      </c>
      <c r="C182" s="22">
        <v>740.87</v>
      </c>
      <c r="D182" s="22">
        <v>598.09</v>
      </c>
      <c r="E182" s="22">
        <v>2761.04</v>
      </c>
      <c r="F182" s="23">
        <v>2761.04</v>
      </c>
      <c r="G182" s="2" t="b">
        <v>1</v>
      </c>
      <c r="H182" s="2">
        <v>0</v>
      </c>
      <c r="I182" s="1"/>
    </row>
    <row r="183" spans="2:9">
      <c r="B183" s="22">
        <v>4120</v>
      </c>
      <c r="C183" s="22">
        <v>744.48</v>
      </c>
      <c r="D183" s="22">
        <v>604.65</v>
      </c>
      <c r="E183" s="22">
        <v>2770.87</v>
      </c>
      <c r="F183" s="23"/>
      <c r="G183" s="2" t="b">
        <v>0</v>
      </c>
      <c r="H183" s="2"/>
      <c r="I183" s="1"/>
    </row>
    <row r="184" spans="2:9">
      <c r="B184" s="22">
        <v>4140</v>
      </c>
      <c r="C184" s="22">
        <v>748.1</v>
      </c>
      <c r="D184" s="22">
        <v>611.20000000000005</v>
      </c>
      <c r="E184" s="22">
        <v>2780.7</v>
      </c>
      <c r="F184" s="23"/>
      <c r="G184" s="2" t="b">
        <v>0</v>
      </c>
      <c r="H184" s="2"/>
      <c r="I184" s="1"/>
    </row>
    <row r="185" spans="2:9">
      <c r="B185" s="22">
        <v>4160</v>
      </c>
      <c r="C185" s="22">
        <v>751.71</v>
      </c>
      <c r="D185" s="22">
        <v>617.76</v>
      </c>
      <c r="E185" s="22">
        <v>2790.53</v>
      </c>
      <c r="F185" s="23"/>
      <c r="G185" s="2" t="b">
        <v>0</v>
      </c>
      <c r="H185" s="2"/>
      <c r="I185" s="1"/>
    </row>
    <row r="186" spans="2:9">
      <c r="B186" s="22">
        <v>4180</v>
      </c>
      <c r="C186" s="22">
        <v>755.33</v>
      </c>
      <c r="D186" s="22">
        <v>624.30999999999995</v>
      </c>
      <c r="E186" s="22">
        <v>2800.36</v>
      </c>
      <c r="F186" s="23"/>
      <c r="G186" s="2" t="b">
        <v>0</v>
      </c>
      <c r="H186" s="2"/>
      <c r="I186" s="1"/>
    </row>
    <row r="187" spans="2:9">
      <c r="B187" s="22">
        <v>4200</v>
      </c>
      <c r="C187" s="22">
        <v>758.94</v>
      </c>
      <c r="D187" s="22">
        <v>630.87</v>
      </c>
      <c r="E187" s="22">
        <v>2810.19</v>
      </c>
      <c r="F187" s="23">
        <v>2810.2</v>
      </c>
      <c r="G187" s="2" t="b">
        <v>0</v>
      </c>
      <c r="H187" s="2">
        <v>-9.9999999997635314E-3</v>
      </c>
      <c r="I187" s="1"/>
    </row>
    <row r="188" spans="2:9">
      <c r="B188" s="22">
        <v>4220</v>
      </c>
      <c r="C188" s="22">
        <v>762.55</v>
      </c>
      <c r="D188" s="22">
        <v>637.41999999999996</v>
      </c>
      <c r="E188" s="22">
        <v>2820.03</v>
      </c>
      <c r="F188" s="23"/>
      <c r="G188" s="2" t="b">
        <v>0</v>
      </c>
      <c r="H188" s="2"/>
      <c r="I188" s="1"/>
    </row>
    <row r="189" spans="2:9">
      <c r="B189" s="22">
        <v>4240</v>
      </c>
      <c r="C189" s="22">
        <v>766.17</v>
      </c>
      <c r="D189" s="22">
        <v>643.97</v>
      </c>
      <c r="E189" s="22">
        <v>2829.86</v>
      </c>
      <c r="F189" s="23"/>
      <c r="G189" s="2" t="b">
        <v>0</v>
      </c>
      <c r="H189" s="2"/>
      <c r="I189" s="1"/>
    </row>
    <row r="190" spans="2:9">
      <c r="B190" s="22">
        <v>4260</v>
      </c>
      <c r="C190" s="22">
        <v>769.78</v>
      </c>
      <c r="D190" s="22">
        <v>650.53</v>
      </c>
      <c r="E190" s="22">
        <v>2839.69</v>
      </c>
      <c r="F190" s="23"/>
      <c r="G190" s="2" t="b">
        <v>0</v>
      </c>
      <c r="H190" s="2"/>
      <c r="I190" s="1"/>
    </row>
    <row r="191" spans="2:9">
      <c r="B191" s="22">
        <v>4280</v>
      </c>
      <c r="C191" s="22">
        <v>773.4</v>
      </c>
      <c r="D191" s="22">
        <v>657.08</v>
      </c>
      <c r="E191" s="22">
        <v>2849.52</v>
      </c>
      <c r="F191" s="23"/>
      <c r="G191" s="2" t="b">
        <v>0</v>
      </c>
      <c r="H191" s="2"/>
      <c r="I191" s="1"/>
    </row>
    <row r="192" spans="2:9">
      <c r="B192" s="22">
        <v>4300</v>
      </c>
      <c r="C192" s="22">
        <v>777.01</v>
      </c>
      <c r="D192" s="22">
        <v>663.64</v>
      </c>
      <c r="E192" s="22">
        <v>2859.35</v>
      </c>
      <c r="F192" s="23">
        <v>2859.35</v>
      </c>
      <c r="G192" s="2" t="b">
        <v>1</v>
      </c>
      <c r="H192" s="2">
        <v>0</v>
      </c>
      <c r="I192" s="1"/>
    </row>
    <row r="193" spans="2:9">
      <c r="B193" s="22">
        <v>4320</v>
      </c>
      <c r="C193" s="22">
        <v>780.62</v>
      </c>
      <c r="D193" s="22">
        <v>670.19</v>
      </c>
      <c r="E193" s="22">
        <v>2869.19</v>
      </c>
      <c r="F193" s="23"/>
      <c r="G193" s="2" t="b">
        <v>0</v>
      </c>
      <c r="H193" s="2"/>
      <c r="I193" s="1"/>
    </row>
    <row r="194" spans="2:9">
      <c r="B194" s="22">
        <v>4340</v>
      </c>
      <c r="C194" s="22">
        <v>784.24</v>
      </c>
      <c r="D194" s="22">
        <v>676.75</v>
      </c>
      <c r="E194" s="22">
        <v>2879.01</v>
      </c>
      <c r="F194" s="23"/>
      <c r="G194" s="2" t="b">
        <v>0</v>
      </c>
      <c r="H194" s="2"/>
      <c r="I194" s="1"/>
    </row>
    <row r="195" spans="2:9">
      <c r="B195" s="22">
        <v>4360</v>
      </c>
      <c r="C195" s="22">
        <v>787.85</v>
      </c>
      <c r="D195" s="22">
        <v>683.3</v>
      </c>
      <c r="E195" s="22">
        <v>2888.85</v>
      </c>
      <c r="F195" s="23"/>
      <c r="G195" s="2" t="b">
        <v>0</v>
      </c>
      <c r="H195" s="2"/>
      <c r="I195" s="1"/>
    </row>
    <row r="196" spans="2:9">
      <c r="B196" s="22">
        <v>4380</v>
      </c>
      <c r="C196" s="22">
        <v>791.47</v>
      </c>
      <c r="D196" s="22">
        <v>689.85</v>
      </c>
      <c r="E196" s="22">
        <v>2898.68</v>
      </c>
      <c r="F196" s="23"/>
      <c r="G196" s="2" t="b">
        <v>0</v>
      </c>
      <c r="H196" s="2"/>
      <c r="I196" s="1"/>
    </row>
    <row r="197" spans="2:9">
      <c r="B197" s="22">
        <v>4400</v>
      </c>
      <c r="C197" s="22">
        <v>795.08</v>
      </c>
      <c r="D197" s="22">
        <v>696.41</v>
      </c>
      <c r="E197" s="22">
        <v>2908.51</v>
      </c>
      <c r="F197" s="23">
        <v>2908.51</v>
      </c>
      <c r="G197" s="2" t="b">
        <v>1</v>
      </c>
      <c r="H197" s="2">
        <v>0</v>
      </c>
      <c r="I197" s="1"/>
    </row>
    <row r="198" spans="2:9">
      <c r="B198" s="22">
        <v>4420</v>
      </c>
      <c r="C198" s="22">
        <v>798.69</v>
      </c>
      <c r="D198" s="22">
        <v>702.97</v>
      </c>
      <c r="E198" s="22">
        <v>2918.34</v>
      </c>
      <c r="F198" s="23"/>
      <c r="G198" s="2" t="b">
        <v>0</v>
      </c>
      <c r="H198" s="2"/>
      <c r="I198" s="1"/>
    </row>
    <row r="199" spans="2:9">
      <c r="B199" s="22">
        <v>4440</v>
      </c>
      <c r="C199" s="22">
        <v>802.31</v>
      </c>
      <c r="D199" s="22">
        <v>709.52</v>
      </c>
      <c r="E199" s="22">
        <v>2928.17</v>
      </c>
      <c r="F199" s="23"/>
      <c r="G199" s="2" t="b">
        <v>0</v>
      </c>
      <c r="H199" s="2"/>
      <c r="I199" s="1"/>
    </row>
    <row r="200" spans="2:9">
      <c r="B200" s="22">
        <v>4460</v>
      </c>
      <c r="C200" s="22">
        <v>805.92</v>
      </c>
      <c r="D200" s="22">
        <v>716.07</v>
      </c>
      <c r="E200" s="22">
        <v>2938.01</v>
      </c>
      <c r="F200" s="23"/>
      <c r="G200" s="2" t="b">
        <v>0</v>
      </c>
      <c r="H200" s="2"/>
      <c r="I200" s="1"/>
    </row>
    <row r="201" spans="2:9">
      <c r="B201" s="22">
        <v>4480</v>
      </c>
      <c r="C201" s="22">
        <v>809.54</v>
      </c>
      <c r="D201" s="22">
        <v>722.63</v>
      </c>
      <c r="E201" s="22">
        <v>2947.83</v>
      </c>
      <c r="F201" s="23"/>
      <c r="G201" s="2" t="b">
        <v>0</v>
      </c>
      <c r="H201" s="2"/>
      <c r="I201" s="1"/>
    </row>
    <row r="202" spans="2:9">
      <c r="B202" s="22">
        <v>4500</v>
      </c>
      <c r="C202" s="22">
        <v>813.15</v>
      </c>
      <c r="D202" s="22">
        <v>729.18</v>
      </c>
      <c r="E202" s="22">
        <v>2957.67</v>
      </c>
      <c r="F202" s="23">
        <v>2957.67</v>
      </c>
      <c r="G202" s="2" t="b">
        <v>1</v>
      </c>
      <c r="H202" s="2">
        <v>0</v>
      </c>
      <c r="I202" s="1"/>
    </row>
    <row r="203" spans="2:9">
      <c r="B203" s="22">
        <v>4520</v>
      </c>
      <c r="C203" s="22">
        <v>816.76</v>
      </c>
      <c r="D203" s="22">
        <v>735.74</v>
      </c>
      <c r="E203" s="22">
        <v>2967.5</v>
      </c>
      <c r="F203" s="23"/>
      <c r="G203" s="2" t="b">
        <v>0</v>
      </c>
      <c r="H203" s="2"/>
      <c r="I203" s="1"/>
    </row>
    <row r="204" spans="2:9">
      <c r="B204" s="22">
        <v>4540</v>
      </c>
      <c r="C204" s="22">
        <v>820.38</v>
      </c>
      <c r="D204" s="22">
        <v>742.29</v>
      </c>
      <c r="E204" s="22">
        <v>2977.33</v>
      </c>
      <c r="F204" s="23"/>
      <c r="G204" s="2" t="b">
        <v>0</v>
      </c>
      <c r="H204" s="2"/>
      <c r="I204" s="1"/>
    </row>
    <row r="205" spans="2:9">
      <c r="B205" s="22">
        <v>4560</v>
      </c>
      <c r="C205" s="22">
        <v>823.99</v>
      </c>
      <c r="D205" s="22">
        <v>748.85</v>
      </c>
      <c r="E205" s="22">
        <v>2987.16</v>
      </c>
      <c r="F205" s="23"/>
      <c r="G205" s="2" t="b">
        <v>0</v>
      </c>
      <c r="H205" s="2"/>
      <c r="I205" s="1"/>
    </row>
    <row r="206" spans="2:9">
      <c r="B206" s="22">
        <v>4580</v>
      </c>
      <c r="C206" s="22">
        <v>827.61</v>
      </c>
      <c r="D206" s="22">
        <v>755.4</v>
      </c>
      <c r="E206" s="22">
        <v>2996.99</v>
      </c>
      <c r="F206" s="23"/>
      <c r="G206" s="2" t="b">
        <v>0</v>
      </c>
      <c r="H206" s="2"/>
      <c r="I206" s="1"/>
    </row>
    <row r="207" spans="2:9">
      <c r="B207" s="22">
        <v>4600</v>
      </c>
      <c r="C207" s="22">
        <v>831.22</v>
      </c>
      <c r="D207" s="22">
        <v>761.95</v>
      </c>
      <c r="E207" s="22">
        <v>3006.83</v>
      </c>
      <c r="F207" s="23">
        <v>3006.83</v>
      </c>
      <c r="G207" s="2" t="b">
        <v>1</v>
      </c>
      <c r="H207" s="2">
        <v>0</v>
      </c>
      <c r="I207" s="1"/>
    </row>
    <row r="208" spans="2:9">
      <c r="B208" s="22">
        <v>4620</v>
      </c>
      <c r="C208" s="22">
        <v>834.83</v>
      </c>
      <c r="D208" s="22">
        <v>768.51</v>
      </c>
      <c r="E208" s="22">
        <v>3016.66</v>
      </c>
      <c r="F208" s="23"/>
      <c r="G208" s="2" t="b">
        <v>0</v>
      </c>
      <c r="H208" s="2"/>
      <c r="I208" s="1"/>
    </row>
    <row r="209" spans="2:9">
      <c r="B209" s="22">
        <v>4640</v>
      </c>
      <c r="C209" s="22">
        <v>838.45</v>
      </c>
      <c r="D209" s="22">
        <v>775.06</v>
      </c>
      <c r="E209" s="22">
        <v>3026.49</v>
      </c>
      <c r="F209" s="23"/>
      <c r="G209" s="2" t="b">
        <v>0</v>
      </c>
      <c r="H209" s="2"/>
      <c r="I209" s="1"/>
    </row>
    <row r="210" spans="2:9">
      <c r="B210" s="22">
        <v>4660</v>
      </c>
      <c r="C210" s="22">
        <v>842.06</v>
      </c>
      <c r="D210" s="22">
        <v>781.62</v>
      </c>
      <c r="E210" s="22">
        <v>3036.32</v>
      </c>
      <c r="F210" s="23"/>
      <c r="G210" s="2" t="b">
        <v>0</v>
      </c>
      <c r="H210" s="2"/>
      <c r="I210" s="1"/>
    </row>
    <row r="211" spans="2:9">
      <c r="B211" s="22">
        <v>4680</v>
      </c>
      <c r="C211" s="22">
        <v>845.68</v>
      </c>
      <c r="D211" s="22">
        <v>788.17</v>
      </c>
      <c r="E211" s="22">
        <v>3046.15</v>
      </c>
      <c r="F211" s="23"/>
      <c r="G211" s="2" t="b">
        <v>0</v>
      </c>
      <c r="H211" s="2"/>
      <c r="I211" s="1"/>
    </row>
    <row r="212" spans="2:9">
      <c r="B212" s="22">
        <v>4700</v>
      </c>
      <c r="C212" s="22">
        <v>849.29</v>
      </c>
      <c r="D212" s="22">
        <v>794.73</v>
      </c>
      <c r="E212" s="22">
        <v>3055.98</v>
      </c>
      <c r="F212" s="23">
        <v>3055.99</v>
      </c>
      <c r="G212" s="2" t="b">
        <v>0</v>
      </c>
      <c r="H212" s="2">
        <v>-9.9999999997635314E-3</v>
      </c>
      <c r="I212" s="1"/>
    </row>
    <row r="213" spans="2:9">
      <c r="B213" s="22">
        <v>4720</v>
      </c>
      <c r="C213" s="22">
        <v>852.9</v>
      </c>
      <c r="D213" s="22">
        <v>801.28</v>
      </c>
      <c r="E213" s="22">
        <v>3065.82</v>
      </c>
      <c r="F213" s="23"/>
      <c r="G213" s="2" t="b">
        <v>0</v>
      </c>
      <c r="H213" s="2"/>
      <c r="I213" s="1"/>
    </row>
    <row r="214" spans="2:9">
      <c r="B214" s="22">
        <v>4740</v>
      </c>
      <c r="C214" s="22">
        <v>856.52</v>
      </c>
      <c r="D214" s="22">
        <v>807.83</v>
      </c>
      <c r="E214" s="22">
        <v>3075.65</v>
      </c>
      <c r="F214" s="23"/>
      <c r="G214" s="2" t="b">
        <v>0</v>
      </c>
      <c r="H214" s="2"/>
      <c r="I214" s="1"/>
    </row>
    <row r="215" spans="2:9">
      <c r="B215" s="22">
        <v>4760</v>
      </c>
      <c r="C215" s="22">
        <v>860.13</v>
      </c>
      <c r="D215" s="22">
        <v>814.39</v>
      </c>
      <c r="E215" s="22">
        <v>3085.48</v>
      </c>
      <c r="F215" s="23"/>
      <c r="G215" s="2" t="b">
        <v>0</v>
      </c>
      <c r="H215" s="2"/>
      <c r="I215" s="1"/>
    </row>
    <row r="216" spans="2:9">
      <c r="B216" s="22">
        <v>4780</v>
      </c>
      <c r="C216" s="22">
        <v>863.75</v>
      </c>
      <c r="D216" s="22">
        <v>820.94</v>
      </c>
      <c r="E216" s="22">
        <v>3095.31</v>
      </c>
      <c r="F216" s="23"/>
      <c r="G216" s="2" t="b">
        <v>0</v>
      </c>
      <c r="H216" s="2"/>
      <c r="I216" s="1"/>
    </row>
    <row r="217" spans="2:9">
      <c r="B217" s="22">
        <v>4800</v>
      </c>
      <c r="C217" s="22">
        <v>867.36</v>
      </c>
      <c r="D217" s="22">
        <v>827.5</v>
      </c>
      <c r="E217" s="22">
        <v>3105.14</v>
      </c>
      <c r="F217" s="23">
        <v>3105.14</v>
      </c>
      <c r="G217" s="2" t="b">
        <v>1</v>
      </c>
      <c r="H217" s="2">
        <v>0</v>
      </c>
      <c r="I217" s="1"/>
    </row>
    <row r="218" spans="2:9">
      <c r="B218" s="22">
        <v>4820</v>
      </c>
      <c r="C218" s="22">
        <v>870.97</v>
      </c>
      <c r="D218" s="22">
        <v>834.05</v>
      </c>
      <c r="E218" s="22">
        <v>3114.98</v>
      </c>
      <c r="F218" s="23"/>
      <c r="G218" s="2" t="b">
        <v>0</v>
      </c>
      <c r="H218" s="2"/>
      <c r="I218" s="1"/>
    </row>
    <row r="219" spans="2:9">
      <c r="B219" s="22">
        <v>4840</v>
      </c>
      <c r="C219" s="22">
        <v>874.59</v>
      </c>
      <c r="D219" s="22">
        <v>840.61</v>
      </c>
      <c r="E219" s="22">
        <v>3124.8</v>
      </c>
      <c r="F219" s="23"/>
      <c r="G219" s="2" t="b">
        <v>0</v>
      </c>
      <c r="H219" s="2"/>
      <c r="I219" s="1"/>
    </row>
    <row r="220" spans="2:9">
      <c r="B220" s="22">
        <v>4860</v>
      </c>
      <c r="C220" s="22">
        <v>878.2</v>
      </c>
      <c r="D220" s="22">
        <v>847.16</v>
      </c>
      <c r="E220" s="22">
        <v>3134.64</v>
      </c>
      <c r="F220" s="23"/>
      <c r="G220" s="2" t="b">
        <v>0</v>
      </c>
      <c r="H220" s="2"/>
      <c r="I220" s="1"/>
    </row>
    <row r="221" spans="2:9">
      <c r="B221" s="22">
        <v>4880</v>
      </c>
      <c r="C221" s="22">
        <v>881.82</v>
      </c>
      <c r="D221" s="22">
        <v>853.71</v>
      </c>
      <c r="E221" s="22">
        <v>3144.47</v>
      </c>
      <c r="F221" s="23"/>
      <c r="G221" s="2" t="b">
        <v>0</v>
      </c>
      <c r="H221" s="2"/>
      <c r="I221" s="1"/>
    </row>
    <row r="222" spans="2:9">
      <c r="B222" s="22">
        <v>4900</v>
      </c>
      <c r="C222" s="22">
        <v>885.43</v>
      </c>
      <c r="D222" s="22">
        <v>860.27</v>
      </c>
      <c r="E222" s="22">
        <v>3154.3</v>
      </c>
      <c r="F222" s="23">
        <v>3154.3</v>
      </c>
      <c r="G222" s="2" t="b">
        <v>1</v>
      </c>
      <c r="H222" s="2">
        <v>0</v>
      </c>
      <c r="I222" s="1"/>
    </row>
    <row r="223" spans="2:9">
      <c r="B223" s="22">
        <v>4920</v>
      </c>
      <c r="C223" s="22">
        <v>889.04</v>
      </c>
      <c r="D223" s="22">
        <v>866.83</v>
      </c>
      <c r="E223" s="22">
        <v>3164.13</v>
      </c>
      <c r="F223" s="23"/>
      <c r="G223" s="2" t="b">
        <v>0</v>
      </c>
      <c r="H223" s="2"/>
      <c r="I223" s="1"/>
    </row>
    <row r="224" spans="2:9">
      <c r="B224" s="22">
        <v>4940</v>
      </c>
      <c r="C224" s="22">
        <v>892.66</v>
      </c>
      <c r="D224" s="22">
        <v>873.38</v>
      </c>
      <c r="E224" s="22">
        <v>3173.96</v>
      </c>
      <c r="F224" s="23"/>
      <c r="G224" s="2" t="b">
        <v>0</v>
      </c>
      <c r="H224" s="2"/>
      <c r="I224" s="1"/>
    </row>
    <row r="225" spans="2:9">
      <c r="B225" s="22">
        <v>4960</v>
      </c>
      <c r="C225" s="22">
        <v>896.27</v>
      </c>
      <c r="D225" s="22">
        <v>879.93</v>
      </c>
      <c r="E225" s="22">
        <v>3183.8</v>
      </c>
      <c r="F225" s="23"/>
      <c r="G225" s="2" t="b">
        <v>0</v>
      </c>
      <c r="H225" s="2"/>
      <c r="I225" s="1"/>
    </row>
    <row r="226" spans="2:9">
      <c r="B226" s="22">
        <v>4980</v>
      </c>
      <c r="C226" s="22">
        <v>899.89</v>
      </c>
      <c r="D226" s="22">
        <v>886.49</v>
      </c>
      <c r="E226" s="22">
        <v>3193.62</v>
      </c>
      <c r="F226" s="23"/>
      <c r="G226" s="2" t="b">
        <v>0</v>
      </c>
      <c r="H226" s="2"/>
      <c r="I226" s="1"/>
    </row>
    <row r="227" spans="2:9">
      <c r="B227" s="22">
        <v>5000</v>
      </c>
      <c r="C227" s="22">
        <v>903.5</v>
      </c>
      <c r="D227" s="22">
        <v>893.04</v>
      </c>
      <c r="E227" s="22">
        <v>3203.46</v>
      </c>
      <c r="F227" s="23">
        <v>3203.46</v>
      </c>
      <c r="G227" s="2" t="b">
        <v>1</v>
      </c>
      <c r="H227" s="2">
        <v>0</v>
      </c>
      <c r="I227" s="1"/>
    </row>
    <row r="228" spans="2:9">
      <c r="B228" s="22">
        <v>5020</v>
      </c>
      <c r="C228" s="22">
        <v>907.11</v>
      </c>
      <c r="D228" s="22">
        <v>899.6</v>
      </c>
      <c r="E228" s="22">
        <v>3213.29</v>
      </c>
      <c r="F228" s="23"/>
      <c r="G228" s="2" t="b">
        <v>0</v>
      </c>
      <c r="H228" s="2"/>
      <c r="I228" s="1"/>
    </row>
    <row r="229" spans="2:9">
      <c r="B229" s="22">
        <v>5040</v>
      </c>
      <c r="C229" s="22">
        <v>910.73</v>
      </c>
      <c r="D229" s="22">
        <v>906.15</v>
      </c>
      <c r="E229" s="22">
        <v>3223.12</v>
      </c>
      <c r="F229" s="23"/>
      <c r="G229" s="2" t="b">
        <v>0</v>
      </c>
      <c r="H229" s="2"/>
      <c r="I229" s="1"/>
    </row>
    <row r="230" spans="2:9">
      <c r="B230" s="22">
        <v>5060</v>
      </c>
      <c r="C230" s="22">
        <v>914.34</v>
      </c>
      <c r="D230" s="22">
        <v>912.71</v>
      </c>
      <c r="E230" s="22">
        <v>3232.95</v>
      </c>
      <c r="F230" s="23"/>
      <c r="G230" s="2" t="b">
        <v>0</v>
      </c>
      <c r="H230" s="2"/>
      <c r="I230" s="1"/>
    </row>
    <row r="231" spans="2:9">
      <c r="B231" s="22">
        <v>5080</v>
      </c>
      <c r="C231" s="22">
        <v>917.96</v>
      </c>
      <c r="D231" s="22">
        <v>919.26</v>
      </c>
      <c r="E231" s="22">
        <v>3242.78</v>
      </c>
      <c r="F231" s="23"/>
      <c r="G231" s="2" t="b">
        <v>0</v>
      </c>
      <c r="H231" s="2"/>
      <c r="I231" s="1"/>
    </row>
    <row r="232" spans="2:9">
      <c r="B232" s="22">
        <v>5100</v>
      </c>
      <c r="C232" s="22">
        <v>921.57</v>
      </c>
      <c r="D232" s="22">
        <v>925.81</v>
      </c>
      <c r="E232" s="22">
        <v>3252.62</v>
      </c>
      <c r="F232" s="23">
        <v>3252.62</v>
      </c>
      <c r="G232" s="2" t="b">
        <v>1</v>
      </c>
      <c r="H232" s="2">
        <v>0</v>
      </c>
      <c r="I232" s="1"/>
    </row>
    <row r="233" spans="2:9">
      <c r="B233" s="22">
        <v>5120</v>
      </c>
      <c r="C233" s="22">
        <v>925.18</v>
      </c>
      <c r="D233" s="22">
        <v>932.37</v>
      </c>
      <c r="E233" s="22">
        <v>3262.45</v>
      </c>
      <c r="F233" s="23"/>
      <c r="G233" s="2" t="b">
        <v>0</v>
      </c>
      <c r="H233" s="2"/>
      <c r="I233" s="1"/>
    </row>
    <row r="234" spans="2:9">
      <c r="B234" s="22">
        <v>5140</v>
      </c>
      <c r="C234" s="22">
        <v>928.8</v>
      </c>
      <c r="D234" s="22">
        <v>938.92</v>
      </c>
      <c r="E234" s="22">
        <v>3272.28</v>
      </c>
      <c r="F234" s="23"/>
      <c r="G234" s="2" t="b">
        <v>0</v>
      </c>
      <c r="H234" s="2"/>
      <c r="I234" s="1"/>
    </row>
    <row r="235" spans="2:9">
      <c r="B235" s="22">
        <v>5160</v>
      </c>
      <c r="C235" s="22">
        <v>932.41</v>
      </c>
      <c r="D235" s="22">
        <v>945.48</v>
      </c>
      <c r="E235" s="22">
        <v>3282.11</v>
      </c>
      <c r="F235" s="23"/>
      <c r="G235" s="2" t="b">
        <v>0</v>
      </c>
      <c r="H235" s="2"/>
      <c r="I235" s="1"/>
    </row>
    <row r="236" spans="2:9">
      <c r="B236" s="22">
        <v>5180</v>
      </c>
      <c r="C236" s="22">
        <v>936.03</v>
      </c>
      <c r="D236" s="22">
        <v>952.03</v>
      </c>
      <c r="E236" s="22">
        <v>3291.94</v>
      </c>
      <c r="F236" s="23"/>
      <c r="G236" s="2" t="b">
        <v>0</v>
      </c>
      <c r="H236" s="2"/>
      <c r="I236" s="1"/>
    </row>
    <row r="237" spans="2:9">
      <c r="B237" s="22">
        <v>5200</v>
      </c>
      <c r="C237" s="22">
        <v>939.64</v>
      </c>
      <c r="D237" s="22">
        <v>958.59</v>
      </c>
      <c r="E237" s="22">
        <v>3301.77</v>
      </c>
      <c r="F237" s="23">
        <v>3301.78</v>
      </c>
      <c r="G237" s="2" t="b">
        <v>0</v>
      </c>
      <c r="H237" s="2">
        <v>-1.0000000000218279E-2</v>
      </c>
      <c r="I237" s="1"/>
    </row>
    <row r="238" spans="2:9">
      <c r="B238" s="22">
        <v>5220</v>
      </c>
      <c r="C238" s="22">
        <v>943.25</v>
      </c>
      <c r="D238" s="22">
        <v>965.14</v>
      </c>
      <c r="E238" s="22">
        <v>3311.61</v>
      </c>
      <c r="F238" s="23"/>
      <c r="G238" s="2" t="b">
        <v>0</v>
      </c>
      <c r="H238" s="2"/>
      <c r="I238" s="1"/>
    </row>
    <row r="239" spans="2:9">
      <c r="B239" s="22">
        <v>5240</v>
      </c>
      <c r="C239" s="22">
        <v>946.87</v>
      </c>
      <c r="D239" s="22">
        <v>971.69</v>
      </c>
      <c r="E239" s="22">
        <v>3321.44</v>
      </c>
      <c r="F239" s="23"/>
      <c r="G239" s="2" t="b">
        <v>0</v>
      </c>
      <c r="H239" s="2"/>
      <c r="I239" s="1"/>
    </row>
    <row r="240" spans="2:9">
      <c r="B240" s="22">
        <v>5260</v>
      </c>
      <c r="C240" s="22">
        <v>950.48</v>
      </c>
      <c r="D240" s="22">
        <v>978.25</v>
      </c>
      <c r="E240" s="22">
        <v>3331.27</v>
      </c>
      <c r="F240" s="23"/>
      <c r="G240" s="2" t="b">
        <v>0</v>
      </c>
      <c r="H240" s="2"/>
      <c r="I240" s="1"/>
    </row>
    <row r="241" spans="2:9">
      <c r="B241" s="22">
        <v>5280</v>
      </c>
      <c r="C241" s="22">
        <v>954.1</v>
      </c>
      <c r="D241" s="22">
        <v>984.8</v>
      </c>
      <c r="E241" s="22">
        <v>3341.1</v>
      </c>
      <c r="F241" s="23"/>
      <c r="G241" s="2" t="b">
        <v>0</v>
      </c>
      <c r="H241" s="2"/>
      <c r="I241" s="1"/>
    </row>
    <row r="242" spans="2:9">
      <c r="B242" s="22">
        <v>5300</v>
      </c>
      <c r="C242" s="22">
        <v>957.71</v>
      </c>
      <c r="D242" s="22">
        <v>991.36</v>
      </c>
      <c r="E242" s="22">
        <v>3350.93</v>
      </c>
      <c r="F242" s="23">
        <v>3350.93</v>
      </c>
      <c r="G242" s="2" t="b">
        <v>1</v>
      </c>
      <c r="H242" s="2">
        <v>0</v>
      </c>
      <c r="I242" s="1"/>
    </row>
    <row r="243" spans="2:9">
      <c r="B243" s="22">
        <v>5320</v>
      </c>
      <c r="C243" s="22">
        <v>961.32</v>
      </c>
      <c r="D243" s="22">
        <v>997.91</v>
      </c>
      <c r="E243" s="22">
        <v>3360.77</v>
      </c>
      <c r="F243" s="23"/>
      <c r="G243" s="2" t="b">
        <v>0</v>
      </c>
      <c r="H243" s="2"/>
      <c r="I243" s="1"/>
    </row>
    <row r="244" spans="2:9">
      <c r="B244" s="22">
        <v>5340</v>
      </c>
      <c r="C244" s="22">
        <v>964.94</v>
      </c>
      <c r="D244" s="22">
        <v>1004.47</v>
      </c>
      <c r="E244" s="22">
        <v>3370.59</v>
      </c>
      <c r="F244" s="23"/>
      <c r="G244" s="2" t="b">
        <v>0</v>
      </c>
      <c r="H244" s="2"/>
      <c r="I244" s="1"/>
    </row>
    <row r="245" spans="2:9">
      <c r="B245" s="22">
        <v>5360</v>
      </c>
      <c r="C245" s="22">
        <v>968.55</v>
      </c>
      <c r="D245" s="22">
        <v>1011.02</v>
      </c>
      <c r="E245" s="22">
        <v>3380.43</v>
      </c>
      <c r="F245" s="23"/>
      <c r="G245" s="2" t="b">
        <v>0</v>
      </c>
      <c r="H245" s="2"/>
      <c r="I245" s="1"/>
    </row>
    <row r="246" spans="2:9">
      <c r="B246" s="22">
        <v>5380</v>
      </c>
      <c r="C246" s="22">
        <v>972.17</v>
      </c>
      <c r="D246" s="22">
        <v>1017.57</v>
      </c>
      <c r="E246" s="22">
        <v>3390.26</v>
      </c>
      <c r="F246" s="23"/>
      <c r="G246" s="2" t="b">
        <v>0</v>
      </c>
      <c r="H246" s="2"/>
      <c r="I246" s="1"/>
    </row>
    <row r="247" spans="2:9">
      <c r="B247" s="22">
        <v>5400</v>
      </c>
      <c r="C247" s="22">
        <v>975.78</v>
      </c>
      <c r="D247" s="22">
        <v>1024.1300000000001</v>
      </c>
      <c r="E247" s="22">
        <v>3400.09</v>
      </c>
      <c r="F247" s="23">
        <v>3400.09</v>
      </c>
      <c r="G247" s="2" t="b">
        <v>1</v>
      </c>
      <c r="H247" s="2">
        <v>0</v>
      </c>
      <c r="I247" s="1"/>
    </row>
    <row r="248" spans="2:9">
      <c r="B248" s="22">
        <v>5420</v>
      </c>
      <c r="C248" s="22">
        <v>979.39</v>
      </c>
      <c r="D248" s="22">
        <v>1030.69</v>
      </c>
      <c r="E248" s="22">
        <v>3409.92</v>
      </c>
      <c r="F248" s="23"/>
      <c r="G248" s="2" t="b">
        <v>0</v>
      </c>
      <c r="H248" s="2"/>
      <c r="I248" s="1"/>
    </row>
    <row r="249" spans="2:9">
      <c r="B249" s="22">
        <v>5440</v>
      </c>
      <c r="C249" s="22">
        <v>983.01</v>
      </c>
      <c r="D249" s="22">
        <v>1037.24</v>
      </c>
      <c r="E249" s="22">
        <v>3419.75</v>
      </c>
      <c r="F249" s="23"/>
      <c r="G249" s="2" t="b">
        <v>0</v>
      </c>
      <c r="H249" s="2"/>
      <c r="I249" s="1"/>
    </row>
    <row r="250" spans="2:9">
      <c r="B250" s="22">
        <v>5460</v>
      </c>
      <c r="C250" s="22">
        <v>986.62</v>
      </c>
      <c r="D250" s="22">
        <v>1043.79</v>
      </c>
      <c r="E250" s="22">
        <v>3429.59</v>
      </c>
      <c r="F250" s="23"/>
      <c r="G250" s="2" t="b">
        <v>0</v>
      </c>
      <c r="H250" s="2"/>
      <c r="I250" s="1"/>
    </row>
    <row r="251" spans="2:9">
      <c r="B251" s="22">
        <v>5480</v>
      </c>
      <c r="C251" s="22">
        <v>990.24</v>
      </c>
      <c r="D251" s="22">
        <v>1050.3499999999999</v>
      </c>
      <c r="E251" s="22">
        <v>3439.41</v>
      </c>
      <c r="F251" s="23"/>
      <c r="G251" s="2" t="b">
        <v>0</v>
      </c>
      <c r="H251" s="2"/>
      <c r="I251" s="1"/>
    </row>
    <row r="252" spans="2:9">
      <c r="B252" s="22">
        <v>5500</v>
      </c>
      <c r="C252" s="22">
        <v>993.85</v>
      </c>
      <c r="D252" s="22">
        <v>1056.9000000000001</v>
      </c>
      <c r="E252" s="22">
        <v>3449.25</v>
      </c>
      <c r="F252" s="23">
        <v>3449.25</v>
      </c>
      <c r="G252" s="2" t="b">
        <v>1</v>
      </c>
      <c r="H252" s="2">
        <v>0</v>
      </c>
      <c r="I252" s="1"/>
    </row>
    <row r="253" spans="2:9">
      <c r="B253" s="22">
        <v>5520</v>
      </c>
      <c r="C253" s="22">
        <v>997.46</v>
      </c>
      <c r="D253" s="22">
        <v>1063.46</v>
      </c>
      <c r="E253" s="22">
        <v>3459.08</v>
      </c>
      <c r="F253" s="23"/>
      <c r="G253" s="2" t="b">
        <v>0</v>
      </c>
      <c r="H253" s="2"/>
      <c r="I253" s="1"/>
    </row>
    <row r="254" spans="2:9">
      <c r="B254" s="22">
        <v>5540</v>
      </c>
      <c r="C254" s="22">
        <v>1001.08</v>
      </c>
      <c r="D254" s="22">
        <v>1070.01</v>
      </c>
      <c r="E254" s="22">
        <v>3468.91</v>
      </c>
      <c r="F254" s="23"/>
      <c r="G254" s="2" t="b">
        <v>0</v>
      </c>
      <c r="H254" s="2"/>
      <c r="I254" s="1"/>
    </row>
    <row r="255" spans="2:9">
      <c r="B255" s="22">
        <v>5560</v>
      </c>
      <c r="C255" s="22">
        <v>1004.69</v>
      </c>
      <c r="D255" s="22">
        <v>1076.57</v>
      </c>
      <c r="E255" s="22">
        <v>3478.74</v>
      </c>
      <c r="F255" s="23"/>
      <c r="G255" s="2" t="b">
        <v>0</v>
      </c>
      <c r="H255" s="2"/>
      <c r="I255" s="1"/>
    </row>
    <row r="256" spans="2:9">
      <c r="B256" s="22">
        <v>5580</v>
      </c>
      <c r="C256" s="22">
        <v>1008.31</v>
      </c>
      <c r="D256" s="22">
        <v>1083.1199999999999</v>
      </c>
      <c r="E256" s="22">
        <v>3488.57</v>
      </c>
      <c r="F256" s="23"/>
      <c r="G256" s="2" t="b">
        <v>0</v>
      </c>
      <c r="H256" s="2"/>
      <c r="I256" s="1"/>
    </row>
    <row r="257" spans="2:9">
      <c r="B257" s="22">
        <v>5600</v>
      </c>
      <c r="C257" s="22">
        <v>1011.92</v>
      </c>
      <c r="D257" s="22">
        <v>1089.67</v>
      </c>
      <c r="E257" s="22">
        <v>3498.41</v>
      </c>
      <c r="F257" s="23">
        <v>3498.41</v>
      </c>
      <c r="G257" s="2" t="b">
        <v>1</v>
      </c>
      <c r="H257" s="2">
        <v>0</v>
      </c>
      <c r="I257" s="1"/>
    </row>
    <row r="258" spans="2:9">
      <c r="B258" s="22">
        <v>5620</v>
      </c>
      <c r="C258" s="22">
        <v>1015.53</v>
      </c>
      <c r="D258" s="22">
        <v>1096.23</v>
      </c>
      <c r="E258" s="22">
        <v>3508.24</v>
      </c>
      <c r="F258" s="23"/>
      <c r="G258" s="2" t="b">
        <v>0</v>
      </c>
      <c r="H258" s="2"/>
      <c r="I258" s="1"/>
    </row>
    <row r="259" spans="2:9">
      <c r="B259" s="22">
        <v>5640</v>
      </c>
      <c r="C259" s="22">
        <v>1019.15</v>
      </c>
      <c r="D259" s="22">
        <v>1102.78</v>
      </c>
      <c r="E259" s="22">
        <v>3518.07</v>
      </c>
      <c r="F259" s="23"/>
      <c r="G259" s="2" t="b">
        <v>0</v>
      </c>
      <c r="H259" s="2"/>
      <c r="I259" s="1"/>
    </row>
    <row r="260" spans="2:9">
      <c r="B260" s="22">
        <v>5660</v>
      </c>
      <c r="C260" s="22">
        <v>1022.76</v>
      </c>
      <c r="D260" s="22">
        <v>1109.3399999999999</v>
      </c>
      <c r="E260" s="22">
        <v>3527.9</v>
      </c>
      <c r="F260" s="23"/>
      <c r="G260" s="2" t="b">
        <v>0</v>
      </c>
      <c r="H260" s="2"/>
      <c r="I260" s="1"/>
    </row>
    <row r="261" spans="2:9">
      <c r="B261" s="22">
        <v>5680</v>
      </c>
      <c r="C261" s="22">
        <v>1026.3800000000001</v>
      </c>
      <c r="D261" s="22">
        <v>1115.8900000000001</v>
      </c>
      <c r="E261" s="22">
        <v>3537.73</v>
      </c>
      <c r="F261" s="23"/>
      <c r="G261" s="2" t="b">
        <v>0</v>
      </c>
      <c r="H261" s="2"/>
      <c r="I261" s="1"/>
    </row>
    <row r="262" spans="2:9">
      <c r="B262" s="22">
        <v>5700</v>
      </c>
      <c r="C262" s="22">
        <v>1029.99</v>
      </c>
      <c r="D262" s="22">
        <v>1122.45</v>
      </c>
      <c r="E262" s="22">
        <v>3547.56</v>
      </c>
      <c r="F262" s="23">
        <v>3547.57</v>
      </c>
      <c r="G262" s="2" t="b">
        <v>0</v>
      </c>
      <c r="H262" s="2">
        <v>-1.0000000000218279E-2</v>
      </c>
      <c r="I262" s="1"/>
    </row>
    <row r="263" spans="2:9">
      <c r="B263" s="22">
        <v>5720</v>
      </c>
      <c r="C263" s="22">
        <v>1033.5999999999999</v>
      </c>
      <c r="D263" s="22">
        <v>1129</v>
      </c>
      <c r="E263" s="22">
        <v>3557.4</v>
      </c>
      <c r="F263" s="23"/>
      <c r="G263" s="2" t="b">
        <v>0</v>
      </c>
      <c r="H263" s="2"/>
      <c r="I263" s="1"/>
    </row>
    <row r="264" spans="2:9">
      <c r="B264" s="22">
        <v>5740</v>
      </c>
      <c r="C264" s="22">
        <v>1037.22</v>
      </c>
      <c r="D264" s="22">
        <v>1135.55</v>
      </c>
      <c r="E264" s="22">
        <v>3567.23</v>
      </c>
      <c r="F264" s="23"/>
      <c r="G264" s="2" t="b">
        <v>0</v>
      </c>
      <c r="H264" s="2"/>
      <c r="I264" s="1"/>
    </row>
    <row r="265" spans="2:9">
      <c r="B265" s="22">
        <v>5760</v>
      </c>
      <c r="C265" s="22">
        <v>1040.83</v>
      </c>
      <c r="D265" s="22">
        <v>1142.1099999999999</v>
      </c>
      <c r="E265" s="22">
        <v>3577.06</v>
      </c>
      <c r="F265" s="23"/>
      <c r="G265" s="2" t="b">
        <v>0</v>
      </c>
      <c r="H265" s="2"/>
      <c r="I265" s="1"/>
    </row>
    <row r="266" spans="2:9">
      <c r="B266" s="22">
        <v>5780</v>
      </c>
      <c r="C266" s="22">
        <v>1044.45</v>
      </c>
      <c r="D266" s="22">
        <v>1148.6600000000001</v>
      </c>
      <c r="E266" s="22">
        <v>3586.89</v>
      </c>
      <c r="F266" s="23"/>
      <c r="G266" s="2" t="b">
        <v>0</v>
      </c>
      <c r="H266" s="2"/>
      <c r="I266" s="1"/>
    </row>
    <row r="267" spans="2:9">
      <c r="B267" s="22">
        <v>5800</v>
      </c>
      <c r="C267" s="22">
        <v>1048.06</v>
      </c>
      <c r="D267" s="22">
        <v>1155.22</v>
      </c>
      <c r="E267" s="22">
        <v>3596.72</v>
      </c>
      <c r="F267" s="23">
        <v>3596.72</v>
      </c>
      <c r="G267" s="2" t="b">
        <v>1</v>
      </c>
      <c r="H267" s="2">
        <v>0</v>
      </c>
      <c r="I267" s="1"/>
    </row>
    <row r="268" spans="2:9">
      <c r="B268" s="22">
        <v>5820</v>
      </c>
      <c r="C268" s="22">
        <v>1051.67</v>
      </c>
      <c r="D268" s="22">
        <v>1161.77</v>
      </c>
      <c r="E268" s="22">
        <v>3606.56</v>
      </c>
      <c r="F268" s="23"/>
      <c r="G268" s="2" t="b">
        <v>0</v>
      </c>
      <c r="H268" s="2"/>
      <c r="I268" s="1"/>
    </row>
    <row r="269" spans="2:9">
      <c r="B269" s="22">
        <v>5840</v>
      </c>
      <c r="C269" s="22">
        <v>1055.29</v>
      </c>
      <c r="D269" s="22">
        <v>1168.33</v>
      </c>
      <c r="E269" s="22">
        <v>3616.38</v>
      </c>
      <c r="F269" s="23"/>
      <c r="G269" s="2" t="b">
        <v>0</v>
      </c>
      <c r="H269" s="2"/>
      <c r="I269" s="1"/>
    </row>
    <row r="270" spans="2:9">
      <c r="B270" s="22">
        <v>5860</v>
      </c>
      <c r="C270" s="22">
        <v>1058.9000000000001</v>
      </c>
      <c r="D270" s="22">
        <v>1174.8800000000001</v>
      </c>
      <c r="E270" s="22">
        <v>3626.22</v>
      </c>
      <c r="F270" s="23"/>
      <c r="G270" s="2" t="b">
        <v>0</v>
      </c>
      <c r="H270" s="2"/>
      <c r="I270" s="1"/>
    </row>
    <row r="271" spans="2:9">
      <c r="B271" s="22">
        <v>5880</v>
      </c>
      <c r="C271" s="22">
        <v>1062.52</v>
      </c>
      <c r="D271" s="22">
        <v>1181.43</v>
      </c>
      <c r="E271" s="22">
        <v>3636.05</v>
      </c>
      <c r="F271" s="23"/>
      <c r="G271" s="2" t="b">
        <v>0</v>
      </c>
      <c r="H271" s="2"/>
      <c r="I271" s="1"/>
    </row>
    <row r="272" spans="2:9">
      <c r="B272" s="22">
        <v>5900</v>
      </c>
      <c r="C272" s="22">
        <v>1066.1300000000001</v>
      </c>
      <c r="D272" s="22">
        <v>1187.99</v>
      </c>
      <c r="E272" s="22">
        <v>3645.88</v>
      </c>
      <c r="F272" s="23">
        <v>3645.88</v>
      </c>
      <c r="G272" s="2" t="b">
        <v>1</v>
      </c>
      <c r="H272" s="2">
        <v>0</v>
      </c>
      <c r="I272" s="1"/>
    </row>
    <row r="273" spans="2:9">
      <c r="B273" s="22">
        <v>5920</v>
      </c>
      <c r="C273" s="22">
        <v>1069.74</v>
      </c>
      <c r="D273" s="22">
        <v>1194.55</v>
      </c>
      <c r="E273" s="22">
        <v>3655.71</v>
      </c>
      <c r="F273" s="23"/>
      <c r="G273" s="2" t="b">
        <v>0</v>
      </c>
      <c r="H273" s="2"/>
      <c r="I273" s="1"/>
    </row>
    <row r="274" spans="2:9">
      <c r="B274" s="22">
        <v>5940</v>
      </c>
      <c r="C274" s="22">
        <v>1073.3599999999999</v>
      </c>
      <c r="D274" s="22">
        <v>1201.0999999999999</v>
      </c>
      <c r="E274" s="22">
        <v>3665.54</v>
      </c>
      <c r="F274" s="23"/>
      <c r="G274" s="2" t="b">
        <v>0</v>
      </c>
      <c r="H274" s="2"/>
      <c r="I274" s="1"/>
    </row>
    <row r="275" spans="2:9">
      <c r="B275" s="22">
        <v>5960</v>
      </c>
      <c r="C275" s="22">
        <v>1076.97</v>
      </c>
      <c r="D275" s="22">
        <v>1207.6500000000001</v>
      </c>
      <c r="E275" s="22">
        <v>3675.38</v>
      </c>
      <c r="F275" s="23"/>
      <c r="G275" s="2" t="b">
        <v>0</v>
      </c>
      <c r="H275" s="2"/>
      <c r="I275" s="1"/>
    </row>
    <row r="276" spans="2:9">
      <c r="B276" s="22">
        <v>5980</v>
      </c>
      <c r="C276" s="22">
        <v>1080.5899999999999</v>
      </c>
      <c r="D276" s="22">
        <v>1214.21</v>
      </c>
      <c r="E276" s="22">
        <v>3685.2</v>
      </c>
      <c r="F276" s="23"/>
      <c r="G276" s="2" t="b">
        <v>0</v>
      </c>
      <c r="H276" s="2"/>
      <c r="I276" s="1"/>
    </row>
    <row r="277" spans="2:9">
      <c r="B277" s="22">
        <v>6000</v>
      </c>
      <c r="C277" s="22">
        <v>1084.2</v>
      </c>
      <c r="D277" s="22">
        <v>1220.76</v>
      </c>
      <c r="E277" s="22">
        <v>3695.04</v>
      </c>
      <c r="F277" s="23">
        <v>3695.04</v>
      </c>
      <c r="G277" s="2" t="b">
        <v>1</v>
      </c>
      <c r="H277" s="2">
        <v>0</v>
      </c>
      <c r="I277" s="1"/>
    </row>
    <row r="278" spans="2:9">
      <c r="B278" s="22">
        <v>6020</v>
      </c>
      <c r="C278" s="22">
        <v>1087.81</v>
      </c>
      <c r="D278" s="22">
        <v>1227.32</v>
      </c>
      <c r="E278" s="22">
        <v>3704.87</v>
      </c>
      <c r="F278" s="23"/>
      <c r="G278" s="2" t="b">
        <v>0</v>
      </c>
      <c r="H278" s="2"/>
      <c r="I278" s="1"/>
    </row>
    <row r="279" spans="2:9">
      <c r="B279" s="22">
        <v>6040</v>
      </c>
      <c r="C279" s="22">
        <v>1091.43</v>
      </c>
      <c r="D279" s="22">
        <v>1233.8699999999999</v>
      </c>
      <c r="E279" s="22">
        <v>3714.7</v>
      </c>
      <c r="F279" s="23"/>
      <c r="G279" s="2" t="b">
        <v>0</v>
      </c>
      <c r="H279" s="2"/>
      <c r="I279" s="1"/>
    </row>
    <row r="280" spans="2:9">
      <c r="B280" s="22">
        <v>6060</v>
      </c>
      <c r="C280" s="22">
        <v>1095.04</v>
      </c>
      <c r="D280" s="22">
        <v>1240.43</v>
      </c>
      <c r="E280" s="22">
        <v>3724.53</v>
      </c>
      <c r="F280" s="23"/>
      <c r="G280" s="2" t="b">
        <v>0</v>
      </c>
      <c r="H280" s="2"/>
      <c r="I280" s="1"/>
    </row>
    <row r="281" spans="2:9">
      <c r="B281" s="22">
        <v>6080</v>
      </c>
      <c r="C281" s="22">
        <v>1098.6600000000001</v>
      </c>
      <c r="D281" s="22">
        <v>1246.98</v>
      </c>
      <c r="E281" s="22">
        <v>3734.36</v>
      </c>
      <c r="F281" s="23"/>
      <c r="G281" s="2" t="b">
        <v>0</v>
      </c>
      <c r="H281" s="2"/>
      <c r="I281" s="1"/>
    </row>
    <row r="282" spans="2:9">
      <c r="B282" s="22">
        <v>6100</v>
      </c>
      <c r="C282" s="22">
        <v>1102.27</v>
      </c>
      <c r="D282" s="22">
        <v>1253.53</v>
      </c>
      <c r="E282" s="22">
        <v>3744.2</v>
      </c>
      <c r="F282" s="23">
        <v>3744.2</v>
      </c>
      <c r="G282" s="2" t="b">
        <v>1</v>
      </c>
      <c r="H282" s="2">
        <v>0</v>
      </c>
      <c r="I282" s="1"/>
    </row>
    <row r="283" spans="2:9">
      <c r="B283" s="22">
        <v>6120</v>
      </c>
      <c r="C283" s="22">
        <v>1105.8800000000001</v>
      </c>
      <c r="D283" s="22">
        <v>1260.0899999999999</v>
      </c>
      <c r="E283" s="22">
        <v>3754.03</v>
      </c>
      <c r="F283" s="23"/>
      <c r="G283" s="2" t="b">
        <v>0</v>
      </c>
      <c r="H283" s="2"/>
      <c r="I283" s="1"/>
    </row>
    <row r="284" spans="2:9">
      <c r="B284" s="22">
        <v>6140</v>
      </c>
      <c r="C284" s="22">
        <v>1109.5</v>
      </c>
      <c r="D284" s="22">
        <v>1266.6400000000001</v>
      </c>
      <c r="E284" s="22">
        <v>3763.86</v>
      </c>
      <c r="F284" s="23"/>
      <c r="G284" s="2" t="b">
        <v>0</v>
      </c>
      <c r="H284" s="2"/>
      <c r="I284" s="1"/>
    </row>
    <row r="285" spans="2:9">
      <c r="B285" s="22">
        <v>6160</v>
      </c>
      <c r="C285" s="22">
        <v>1113.1099999999999</v>
      </c>
      <c r="D285" s="22">
        <v>1273.2</v>
      </c>
      <c r="E285" s="22">
        <v>3773.69</v>
      </c>
      <c r="F285" s="23"/>
      <c r="G285" s="2" t="b">
        <v>0</v>
      </c>
      <c r="H285" s="2"/>
      <c r="I285" s="1"/>
    </row>
    <row r="286" spans="2:9">
      <c r="B286" s="22">
        <v>6180</v>
      </c>
      <c r="C286" s="22">
        <v>1116.73</v>
      </c>
      <c r="D286" s="22">
        <v>1279.75</v>
      </c>
      <c r="E286" s="22">
        <v>3783.52</v>
      </c>
      <c r="F286" s="23"/>
      <c r="G286" s="2" t="b">
        <v>0</v>
      </c>
      <c r="H286" s="2"/>
      <c r="I286" s="1"/>
    </row>
    <row r="287" spans="2:9">
      <c r="B287" s="22">
        <v>6200</v>
      </c>
      <c r="C287" s="22">
        <v>1120.3399999999999</v>
      </c>
      <c r="D287" s="22">
        <v>1286.31</v>
      </c>
      <c r="E287" s="22">
        <v>3793.35</v>
      </c>
      <c r="F287" s="23">
        <v>3793.36</v>
      </c>
      <c r="G287" s="2" t="b">
        <v>0</v>
      </c>
      <c r="H287" s="2">
        <v>-1.0000000000218279E-2</v>
      </c>
      <c r="I287" s="1"/>
    </row>
    <row r="288" spans="2:9">
      <c r="B288" s="22">
        <v>6220</v>
      </c>
      <c r="C288" s="22">
        <v>1123.95</v>
      </c>
      <c r="D288" s="22">
        <v>1292.8599999999999</v>
      </c>
      <c r="E288" s="22">
        <v>3803.19</v>
      </c>
      <c r="F288" s="23"/>
      <c r="G288" s="2" t="b">
        <v>0</v>
      </c>
      <c r="H288" s="2"/>
      <c r="I288" s="1"/>
    </row>
    <row r="289" spans="2:9">
      <c r="B289" s="22">
        <v>6240</v>
      </c>
      <c r="C289" s="22">
        <v>1127.57</v>
      </c>
      <c r="D289" s="22">
        <v>1299.4100000000001</v>
      </c>
      <c r="E289" s="22">
        <v>3813.02</v>
      </c>
      <c r="F289" s="23"/>
      <c r="G289" s="2" t="b">
        <v>0</v>
      </c>
      <c r="H289" s="2"/>
      <c r="I289" s="1"/>
    </row>
    <row r="290" spans="2:9">
      <c r="B290" s="22">
        <v>6260</v>
      </c>
      <c r="C290" s="22">
        <v>1131.18</v>
      </c>
      <c r="D290" s="22">
        <v>1305.97</v>
      </c>
      <c r="E290" s="22">
        <v>3822.85</v>
      </c>
      <c r="F290" s="23"/>
      <c r="G290" s="2" t="b">
        <v>0</v>
      </c>
      <c r="H290" s="2"/>
      <c r="I290" s="1"/>
    </row>
    <row r="291" spans="2:9">
      <c r="B291" s="22">
        <v>6280</v>
      </c>
      <c r="C291" s="22">
        <v>1134.8</v>
      </c>
      <c r="D291" s="22">
        <v>1312.52</v>
      </c>
      <c r="E291" s="22">
        <v>3832.68</v>
      </c>
      <c r="F291" s="23"/>
      <c r="G291" s="2" t="b">
        <v>0</v>
      </c>
      <c r="H291" s="2"/>
      <c r="I291" s="1"/>
    </row>
    <row r="292" spans="2:9">
      <c r="B292" s="22">
        <v>6300</v>
      </c>
      <c r="C292" s="22">
        <v>1138.4100000000001</v>
      </c>
      <c r="D292" s="22">
        <v>1319.08</v>
      </c>
      <c r="E292" s="22">
        <v>3842.51</v>
      </c>
      <c r="F292" s="23">
        <v>3842.51</v>
      </c>
      <c r="G292" s="2" t="b">
        <v>1</v>
      </c>
      <c r="H292" s="2">
        <v>0</v>
      </c>
      <c r="I292" s="1"/>
    </row>
    <row r="293" spans="2:9">
      <c r="B293" s="22">
        <v>6320</v>
      </c>
      <c r="C293" s="22">
        <v>1142.02</v>
      </c>
      <c r="D293" s="22">
        <v>1325.63</v>
      </c>
      <c r="E293" s="22">
        <v>3852.35</v>
      </c>
      <c r="F293" s="23"/>
      <c r="G293" s="2" t="b">
        <v>0</v>
      </c>
      <c r="H293" s="2"/>
      <c r="I293" s="1"/>
    </row>
    <row r="294" spans="2:9">
      <c r="B294" s="22">
        <v>6340</v>
      </c>
      <c r="C294" s="22">
        <v>1145.6400000000001</v>
      </c>
      <c r="D294" s="22">
        <v>1332.19</v>
      </c>
      <c r="E294" s="22">
        <v>3862.17</v>
      </c>
      <c r="F294" s="23"/>
      <c r="G294" s="2" t="b">
        <v>0</v>
      </c>
      <c r="H294" s="2"/>
      <c r="I294" s="1"/>
    </row>
    <row r="295" spans="2:9">
      <c r="B295" s="22">
        <v>6360</v>
      </c>
      <c r="C295" s="22">
        <v>1149.25</v>
      </c>
      <c r="D295" s="22">
        <v>1338.74</v>
      </c>
      <c r="E295" s="22">
        <v>3872.01</v>
      </c>
      <c r="F295" s="23"/>
      <c r="G295" s="2" t="b">
        <v>0</v>
      </c>
      <c r="H295" s="2"/>
      <c r="I295" s="1"/>
    </row>
    <row r="296" spans="2:9">
      <c r="B296" s="22">
        <v>6380</v>
      </c>
      <c r="C296" s="22">
        <v>1152.8699999999999</v>
      </c>
      <c r="D296" s="22">
        <v>1345.29</v>
      </c>
      <c r="E296" s="22">
        <v>3881.84</v>
      </c>
      <c r="F296" s="23"/>
      <c r="G296" s="2" t="b">
        <v>0</v>
      </c>
      <c r="H296" s="2"/>
      <c r="I296" s="1"/>
    </row>
    <row r="297" spans="2:9">
      <c r="B297" s="22">
        <v>6400</v>
      </c>
      <c r="C297" s="22">
        <v>1156.48</v>
      </c>
      <c r="D297" s="22">
        <v>1351.85</v>
      </c>
      <c r="E297" s="22">
        <v>3891.67</v>
      </c>
      <c r="F297" s="23">
        <v>3891.67</v>
      </c>
      <c r="G297" s="2" t="b">
        <v>1</v>
      </c>
      <c r="H297" s="2">
        <v>0</v>
      </c>
      <c r="I297" s="1"/>
    </row>
    <row r="298" spans="2:9">
      <c r="B298" s="22">
        <v>6420</v>
      </c>
      <c r="C298" s="22">
        <v>1160.0899999999999</v>
      </c>
      <c r="D298" s="22">
        <v>1358.41</v>
      </c>
      <c r="E298" s="22">
        <v>3901.5</v>
      </c>
      <c r="F298" s="23"/>
      <c r="G298" s="2" t="b">
        <v>0</v>
      </c>
      <c r="H298" s="2"/>
      <c r="I298" s="1"/>
    </row>
    <row r="299" spans="2:9">
      <c r="B299" s="22">
        <v>6440</v>
      </c>
      <c r="C299" s="22">
        <v>1163.71</v>
      </c>
      <c r="D299" s="22">
        <v>1364.96</v>
      </c>
      <c r="E299" s="22">
        <v>3911.33</v>
      </c>
      <c r="F299" s="23"/>
      <c r="G299" s="2" t="b">
        <v>0</v>
      </c>
      <c r="H299" s="2"/>
      <c r="I299" s="1"/>
    </row>
    <row r="300" spans="2:9">
      <c r="B300" s="22">
        <v>6460</v>
      </c>
      <c r="C300" s="22">
        <v>1165.52</v>
      </c>
      <c r="D300" s="22">
        <v>1372.23</v>
      </c>
      <c r="E300" s="22">
        <v>3922.25</v>
      </c>
      <c r="F300" s="23"/>
      <c r="G300" s="2" t="b">
        <v>0</v>
      </c>
      <c r="H300" s="2"/>
      <c r="I300" s="1"/>
    </row>
    <row r="301" spans="2:9">
      <c r="B301" s="22">
        <v>6480</v>
      </c>
      <c r="C301" s="22">
        <v>1165.52</v>
      </c>
      <c r="D301" s="22">
        <v>1380.23</v>
      </c>
      <c r="E301" s="22">
        <v>3934.25</v>
      </c>
      <c r="F301" s="23"/>
      <c r="G301" s="2" t="b">
        <v>0</v>
      </c>
      <c r="H301" s="2"/>
      <c r="I301" s="1"/>
    </row>
    <row r="302" spans="2:9">
      <c r="B302" s="22">
        <v>6500</v>
      </c>
      <c r="C302" s="22">
        <v>1165.52</v>
      </c>
      <c r="D302" s="22">
        <v>1388.23</v>
      </c>
      <c r="E302" s="22">
        <v>3946.25</v>
      </c>
      <c r="F302" s="23">
        <v>3946.25</v>
      </c>
      <c r="G302" s="2" t="b">
        <v>1</v>
      </c>
      <c r="H302" s="2">
        <v>0</v>
      </c>
      <c r="I302" s="1"/>
    </row>
    <row r="303" spans="2:9">
      <c r="B303" s="22">
        <v>6520</v>
      </c>
      <c r="C303" s="22">
        <v>1165.52</v>
      </c>
      <c r="D303" s="22">
        <v>1396.23</v>
      </c>
      <c r="E303" s="22">
        <v>3958.25</v>
      </c>
      <c r="F303" s="23"/>
      <c r="G303" s="2" t="b">
        <v>0</v>
      </c>
      <c r="H303" s="2"/>
      <c r="I303" s="1"/>
    </row>
    <row r="304" spans="2:9">
      <c r="B304" s="22">
        <v>6540</v>
      </c>
      <c r="C304" s="22">
        <v>1165.52</v>
      </c>
      <c r="D304" s="22">
        <v>1404.23</v>
      </c>
      <c r="E304" s="22">
        <v>3970.25</v>
      </c>
      <c r="F304" s="23"/>
      <c r="G304" s="2" t="b">
        <v>0</v>
      </c>
      <c r="H304" s="2"/>
      <c r="I304" s="1"/>
    </row>
    <row r="305" spans="2:9">
      <c r="B305" s="22">
        <v>6560</v>
      </c>
      <c r="C305" s="22">
        <v>1165.52</v>
      </c>
      <c r="D305" s="22">
        <v>1412.23</v>
      </c>
      <c r="E305" s="22">
        <v>3982.25</v>
      </c>
      <c r="F305" s="23"/>
      <c r="G305" s="2" t="b">
        <v>0</v>
      </c>
      <c r="H305" s="2"/>
      <c r="I305" s="1"/>
    </row>
    <row r="306" spans="2:9">
      <c r="B306" s="22">
        <v>6580</v>
      </c>
      <c r="C306" s="22">
        <v>1165.52</v>
      </c>
      <c r="D306" s="22">
        <v>1420.23</v>
      </c>
      <c r="E306" s="22">
        <v>3994.25</v>
      </c>
      <c r="F306" s="23"/>
      <c r="G306" s="2" t="b">
        <v>0</v>
      </c>
      <c r="H306" s="2"/>
      <c r="I306" s="1"/>
    </row>
    <row r="307" spans="2:9">
      <c r="B307" s="22">
        <v>6600</v>
      </c>
      <c r="C307" s="22">
        <v>1165.52</v>
      </c>
      <c r="D307" s="22">
        <v>1428.23</v>
      </c>
      <c r="E307" s="22">
        <v>4006.25</v>
      </c>
      <c r="F307" s="23">
        <v>4006.25</v>
      </c>
      <c r="G307" s="2" t="b">
        <v>1</v>
      </c>
      <c r="H307" s="2">
        <v>0</v>
      </c>
      <c r="I307" s="1"/>
    </row>
    <row r="308" spans="2:9">
      <c r="B308" s="22">
        <v>6620</v>
      </c>
      <c r="C308" s="22">
        <v>1165.52</v>
      </c>
      <c r="D308" s="22">
        <v>1436.23</v>
      </c>
      <c r="E308" s="22">
        <v>4018.25</v>
      </c>
      <c r="F308" s="23"/>
      <c r="G308" s="2" t="b">
        <v>0</v>
      </c>
      <c r="H308" s="2"/>
      <c r="I308" s="1"/>
    </row>
    <row r="309" spans="2:9">
      <c r="B309" s="22">
        <v>6640</v>
      </c>
      <c r="C309" s="22">
        <v>1165.52</v>
      </c>
      <c r="D309" s="22">
        <v>1444.23</v>
      </c>
      <c r="E309" s="22">
        <v>4030.25</v>
      </c>
      <c r="F309" s="23"/>
      <c r="G309" s="2" t="b">
        <v>0</v>
      </c>
      <c r="H309" s="2"/>
      <c r="I309" s="1"/>
    </row>
    <row r="310" spans="2:9">
      <c r="B310" s="22">
        <v>6660</v>
      </c>
      <c r="C310" s="22">
        <v>1165.52</v>
      </c>
      <c r="D310" s="22">
        <v>1452.23</v>
      </c>
      <c r="E310" s="22">
        <v>4042.25</v>
      </c>
      <c r="F310" s="23"/>
      <c r="G310" s="2" t="b">
        <v>0</v>
      </c>
      <c r="H310" s="2"/>
      <c r="I310" s="1"/>
    </row>
    <row r="311" spans="2:9">
      <c r="B311" s="22">
        <v>6680</v>
      </c>
      <c r="C311" s="22">
        <v>1165.52</v>
      </c>
      <c r="D311" s="22">
        <v>1460.23</v>
      </c>
      <c r="E311" s="22">
        <v>4054.25</v>
      </c>
      <c r="F311" s="23"/>
      <c r="G311" s="2" t="b">
        <v>0</v>
      </c>
      <c r="H311" s="2"/>
      <c r="I311" s="1"/>
    </row>
    <row r="312" spans="2:9">
      <c r="B312" s="22">
        <v>6700</v>
      </c>
      <c r="C312" s="22">
        <v>1165.52</v>
      </c>
      <c r="D312" s="22">
        <v>1468.23</v>
      </c>
      <c r="E312" s="22">
        <v>4066.25</v>
      </c>
      <c r="F312" s="23">
        <v>4066.25</v>
      </c>
      <c r="G312" s="2" t="b">
        <v>1</v>
      </c>
      <c r="H312" s="2">
        <v>0</v>
      </c>
      <c r="I312" s="1"/>
    </row>
    <row r="313" spans="2:9">
      <c r="B313" s="22">
        <v>6720</v>
      </c>
      <c r="C313" s="22">
        <v>1165.52</v>
      </c>
      <c r="D313" s="22">
        <v>1476.23</v>
      </c>
      <c r="E313" s="22">
        <v>4078.25</v>
      </c>
      <c r="F313" s="23"/>
      <c r="G313" s="2" t="b">
        <v>0</v>
      </c>
      <c r="H313" s="2"/>
      <c r="I313" s="1"/>
    </row>
    <row r="314" spans="2:9">
      <c r="B314" s="22">
        <v>6740</v>
      </c>
      <c r="C314" s="22">
        <v>1165.52</v>
      </c>
      <c r="D314" s="22">
        <v>1484.23</v>
      </c>
      <c r="E314" s="22">
        <v>4090.25</v>
      </c>
      <c r="F314" s="23"/>
      <c r="G314" s="2" t="b">
        <v>0</v>
      </c>
      <c r="H314" s="2"/>
      <c r="I314" s="1"/>
    </row>
    <row r="315" spans="2:9">
      <c r="B315" s="22">
        <v>6760</v>
      </c>
      <c r="C315" s="22">
        <v>1165.52</v>
      </c>
      <c r="D315" s="22">
        <v>1492.23</v>
      </c>
      <c r="E315" s="22">
        <v>4102.25</v>
      </c>
      <c r="F315" s="23"/>
      <c r="G315" s="2" t="b">
        <v>0</v>
      </c>
      <c r="H315" s="2"/>
      <c r="I315" s="1"/>
    </row>
    <row r="316" spans="2:9">
      <c r="B316" s="22">
        <v>6780</v>
      </c>
      <c r="C316" s="22">
        <v>1165.52</v>
      </c>
      <c r="D316" s="22">
        <v>1500.23</v>
      </c>
      <c r="E316" s="22">
        <v>4114.25</v>
      </c>
      <c r="F316" s="23"/>
      <c r="G316" s="2" t="b">
        <v>0</v>
      </c>
      <c r="H316" s="2"/>
      <c r="I316" s="1"/>
    </row>
    <row r="317" spans="2:9">
      <c r="B317" s="22">
        <v>6800</v>
      </c>
      <c r="C317" s="22">
        <v>1165.52</v>
      </c>
      <c r="D317" s="22">
        <v>1508.23</v>
      </c>
      <c r="E317" s="22">
        <v>4126.25</v>
      </c>
      <c r="F317" s="23">
        <v>4126.25</v>
      </c>
      <c r="G317" s="2" t="b">
        <v>1</v>
      </c>
      <c r="H317" s="2">
        <v>0</v>
      </c>
      <c r="I317" s="1"/>
    </row>
    <row r="318" spans="2:9">
      <c r="B318" s="22">
        <v>6820</v>
      </c>
      <c r="C318" s="22">
        <v>1165.52</v>
      </c>
      <c r="D318" s="22">
        <v>1516.23</v>
      </c>
      <c r="E318" s="22">
        <v>4138.25</v>
      </c>
      <c r="F318" s="23"/>
      <c r="G318" s="2" t="b">
        <v>0</v>
      </c>
      <c r="H318" s="2"/>
      <c r="I318" s="1"/>
    </row>
    <row r="319" spans="2:9">
      <c r="B319" s="22">
        <v>6840</v>
      </c>
      <c r="C319" s="22">
        <v>1165.52</v>
      </c>
      <c r="D319" s="22">
        <v>1524.23</v>
      </c>
      <c r="E319" s="22">
        <v>4150.25</v>
      </c>
      <c r="F319" s="23"/>
      <c r="G319" s="2" t="b">
        <v>0</v>
      </c>
      <c r="H319" s="2"/>
      <c r="I319" s="1"/>
    </row>
    <row r="320" spans="2:9">
      <c r="B320" s="22">
        <v>6860</v>
      </c>
      <c r="C320" s="22">
        <v>1165.52</v>
      </c>
      <c r="D320" s="22">
        <v>1532.23</v>
      </c>
      <c r="E320" s="22">
        <v>4162.25</v>
      </c>
      <c r="F320" s="23"/>
      <c r="G320" s="2" t="b">
        <v>0</v>
      </c>
      <c r="H320" s="2"/>
      <c r="I320" s="1"/>
    </row>
    <row r="321" spans="2:9">
      <c r="B321" s="22">
        <v>6880</v>
      </c>
      <c r="C321" s="22">
        <v>1165.52</v>
      </c>
      <c r="D321" s="22">
        <v>1540.23</v>
      </c>
      <c r="E321" s="22">
        <v>4174.25</v>
      </c>
      <c r="F321" s="23"/>
      <c r="G321" s="2" t="b">
        <v>0</v>
      </c>
      <c r="H321" s="2"/>
      <c r="I321" s="1"/>
    </row>
    <row r="322" spans="2:9">
      <c r="B322" s="22">
        <v>6900</v>
      </c>
      <c r="C322" s="22">
        <v>1165.52</v>
      </c>
      <c r="D322" s="22">
        <v>1548.23</v>
      </c>
      <c r="E322" s="22">
        <v>4186.25</v>
      </c>
      <c r="F322" s="23">
        <v>4186.25</v>
      </c>
      <c r="G322" s="2" t="b">
        <v>1</v>
      </c>
      <c r="H322" s="2">
        <v>0</v>
      </c>
      <c r="I322" s="1"/>
    </row>
    <row r="323" spans="2:9">
      <c r="B323" s="22">
        <v>6920</v>
      </c>
      <c r="C323" s="22">
        <v>1165.52</v>
      </c>
      <c r="D323" s="22">
        <v>1556.23</v>
      </c>
      <c r="E323" s="22">
        <v>4198.25</v>
      </c>
      <c r="F323" s="23"/>
      <c r="G323" s="2" t="b">
        <v>0</v>
      </c>
      <c r="H323" s="2"/>
      <c r="I323" s="1"/>
    </row>
    <row r="324" spans="2:9">
      <c r="B324" s="22">
        <v>6940</v>
      </c>
      <c r="C324" s="22">
        <v>1165.52</v>
      </c>
      <c r="D324" s="22">
        <v>1564.23</v>
      </c>
      <c r="E324" s="22">
        <v>4210.25</v>
      </c>
      <c r="F324" s="23"/>
      <c r="G324" s="2" t="b">
        <v>0</v>
      </c>
      <c r="H324" s="2"/>
      <c r="I324" s="1"/>
    </row>
    <row r="325" spans="2:9">
      <c r="B325" s="22">
        <v>6960</v>
      </c>
      <c r="C325" s="22">
        <v>1165.52</v>
      </c>
      <c r="D325" s="22">
        <v>1573.81</v>
      </c>
      <c r="E325" s="22">
        <v>4220.67</v>
      </c>
      <c r="F325" s="23"/>
      <c r="G325" s="2" t="b">
        <v>0</v>
      </c>
      <c r="H325" s="2"/>
      <c r="I325" s="1"/>
    </row>
    <row r="326" spans="2:9">
      <c r="B326" s="22">
        <v>6980</v>
      </c>
      <c r="C326" s="22">
        <v>1165.52</v>
      </c>
      <c r="D326" s="22">
        <v>1583.41</v>
      </c>
      <c r="E326" s="22">
        <v>4231.07</v>
      </c>
      <c r="F326" s="23"/>
      <c r="G326" s="2" t="b">
        <v>0</v>
      </c>
      <c r="H326" s="2"/>
      <c r="I326" s="1"/>
    </row>
    <row r="327" spans="2:9">
      <c r="B327" s="22">
        <v>7000</v>
      </c>
      <c r="C327" s="22">
        <v>1165.52</v>
      </c>
      <c r="D327" s="22">
        <v>1593.01</v>
      </c>
      <c r="E327" s="22">
        <v>4241.47</v>
      </c>
      <c r="F327" s="23">
        <v>4241.47</v>
      </c>
      <c r="G327" s="2" t="b">
        <v>1</v>
      </c>
      <c r="H327" s="2">
        <v>0</v>
      </c>
      <c r="I327" s="1"/>
    </row>
    <row r="328" spans="2:9">
      <c r="B328" s="22">
        <v>7020</v>
      </c>
      <c r="C328" s="22">
        <v>1165.52</v>
      </c>
      <c r="D328" s="22">
        <v>1602.61</v>
      </c>
      <c r="E328" s="22">
        <v>4251.87</v>
      </c>
      <c r="F328" s="23"/>
      <c r="G328" s="2" t="b">
        <v>0</v>
      </c>
      <c r="H328" s="2"/>
      <c r="I328" s="1"/>
    </row>
    <row r="329" spans="2:9">
      <c r="B329" s="22">
        <v>7040</v>
      </c>
      <c r="C329" s="22">
        <v>1165.52</v>
      </c>
      <c r="D329" s="22">
        <v>1612.21</v>
      </c>
      <c r="E329" s="22">
        <v>4262.2700000000004</v>
      </c>
      <c r="F329" s="23"/>
      <c r="G329" s="2" t="b">
        <v>0</v>
      </c>
      <c r="H329" s="2"/>
      <c r="I329" s="1"/>
    </row>
    <row r="330" spans="2:9">
      <c r="B330" s="22">
        <v>7060</v>
      </c>
      <c r="C330" s="22">
        <v>1165.52</v>
      </c>
      <c r="D330" s="22">
        <v>1621.81</v>
      </c>
      <c r="E330" s="22">
        <v>4272.67</v>
      </c>
      <c r="F330" s="23"/>
      <c r="G330" s="2" t="b">
        <v>0</v>
      </c>
      <c r="H330" s="2"/>
      <c r="I330" s="1"/>
    </row>
    <row r="331" spans="2:9">
      <c r="B331" s="22">
        <v>7080</v>
      </c>
      <c r="C331" s="22">
        <v>1165.52</v>
      </c>
      <c r="D331" s="22">
        <v>1631.41</v>
      </c>
      <c r="E331" s="22">
        <v>4283.07</v>
      </c>
      <c r="F331" s="23"/>
      <c r="G331" s="2" t="b">
        <v>0</v>
      </c>
      <c r="H331" s="2"/>
      <c r="I331" s="1"/>
    </row>
    <row r="332" spans="2:9">
      <c r="B332" s="22">
        <v>7100</v>
      </c>
      <c r="C332" s="22">
        <v>1165.52</v>
      </c>
      <c r="D332" s="22">
        <v>1641.01</v>
      </c>
      <c r="E332" s="22">
        <v>4293.47</v>
      </c>
      <c r="F332" s="23">
        <v>4293.47</v>
      </c>
      <c r="G332" s="2" t="b">
        <v>1</v>
      </c>
      <c r="H332" s="2">
        <v>0</v>
      </c>
      <c r="I332" s="1"/>
    </row>
    <row r="333" spans="2:9">
      <c r="B333" s="22">
        <v>7120</v>
      </c>
      <c r="C333" s="22">
        <v>1165.52</v>
      </c>
      <c r="D333" s="22">
        <v>1650.61</v>
      </c>
      <c r="E333" s="22">
        <v>4303.87</v>
      </c>
      <c r="F333" s="23"/>
      <c r="G333" s="2" t="b">
        <v>0</v>
      </c>
      <c r="H333" s="2"/>
      <c r="I333" s="1"/>
    </row>
    <row r="334" spans="2:9">
      <c r="B334" s="22">
        <v>7140</v>
      </c>
      <c r="C334" s="22">
        <v>1165.52</v>
      </c>
      <c r="D334" s="22">
        <v>1660.21</v>
      </c>
      <c r="E334" s="22">
        <v>4314.2700000000004</v>
      </c>
      <c r="F334" s="23"/>
      <c r="G334" s="2" t="b">
        <v>0</v>
      </c>
      <c r="H334" s="2"/>
      <c r="I334" s="1"/>
    </row>
    <row r="335" spans="2:9">
      <c r="B335" s="22">
        <v>7160</v>
      </c>
      <c r="C335" s="22">
        <v>1165.52</v>
      </c>
      <c r="D335" s="22">
        <v>1669.81</v>
      </c>
      <c r="E335" s="22">
        <v>4324.67</v>
      </c>
      <c r="F335" s="23"/>
      <c r="G335" s="2" t="b">
        <v>0</v>
      </c>
      <c r="H335" s="2"/>
      <c r="I335" s="1"/>
    </row>
    <row r="336" spans="2:9">
      <c r="B336" s="22">
        <v>7180</v>
      </c>
      <c r="C336" s="22">
        <v>1165.52</v>
      </c>
      <c r="D336" s="22">
        <v>1679.41</v>
      </c>
      <c r="E336" s="22">
        <v>4335.07</v>
      </c>
      <c r="F336" s="23"/>
      <c r="G336" s="2" t="b">
        <v>0</v>
      </c>
      <c r="H336" s="2"/>
      <c r="I336" s="1"/>
    </row>
    <row r="337" spans="2:9">
      <c r="B337" s="22">
        <v>7200</v>
      </c>
      <c r="C337" s="22">
        <v>1165.52</v>
      </c>
      <c r="D337" s="22">
        <v>1689.01</v>
      </c>
      <c r="E337" s="22">
        <v>4345.47</v>
      </c>
      <c r="F337" s="23">
        <v>4345.47</v>
      </c>
      <c r="G337" s="2" t="b">
        <v>1</v>
      </c>
      <c r="H337" s="2">
        <v>0</v>
      </c>
      <c r="I337" s="1"/>
    </row>
    <row r="338" spans="2:9">
      <c r="B338" s="22">
        <v>7220</v>
      </c>
      <c r="C338" s="22">
        <v>1165.52</v>
      </c>
      <c r="D338" s="22">
        <v>1698.61</v>
      </c>
      <c r="E338" s="22">
        <v>4355.87</v>
      </c>
      <c r="F338" s="23"/>
      <c r="G338" s="2" t="b">
        <v>0</v>
      </c>
      <c r="H338" s="2"/>
      <c r="I338" s="1"/>
    </row>
    <row r="339" spans="2:9">
      <c r="B339" s="22">
        <v>7240</v>
      </c>
      <c r="C339" s="22">
        <v>1165.52</v>
      </c>
      <c r="D339" s="22">
        <v>1708.21</v>
      </c>
      <c r="E339" s="22">
        <v>4366.2700000000004</v>
      </c>
      <c r="F339" s="23"/>
      <c r="G339" s="2" t="b">
        <v>0</v>
      </c>
      <c r="H339" s="2"/>
      <c r="I339" s="1"/>
    </row>
    <row r="340" spans="2:9">
      <c r="B340" s="22">
        <v>7260</v>
      </c>
      <c r="C340" s="22">
        <v>1165.52</v>
      </c>
      <c r="D340" s="22">
        <v>1717.81</v>
      </c>
      <c r="E340" s="22">
        <v>4376.67</v>
      </c>
      <c r="F340" s="23"/>
      <c r="G340" s="2" t="b">
        <v>0</v>
      </c>
      <c r="H340" s="2"/>
      <c r="I340" s="1"/>
    </row>
    <row r="341" spans="2:9">
      <c r="B341" s="22">
        <v>7280</v>
      </c>
      <c r="C341" s="22">
        <v>1165.52</v>
      </c>
      <c r="D341" s="22">
        <v>1727.41</v>
      </c>
      <c r="E341" s="22">
        <v>4387.07</v>
      </c>
      <c r="F341" s="23"/>
      <c r="G341" s="2" t="b">
        <v>0</v>
      </c>
      <c r="H341" s="2"/>
      <c r="I341" s="1"/>
    </row>
    <row r="342" spans="2:9">
      <c r="B342" s="22">
        <v>7300</v>
      </c>
      <c r="C342" s="22">
        <v>1165.52</v>
      </c>
      <c r="D342" s="22">
        <v>1737.01</v>
      </c>
      <c r="E342" s="22">
        <v>4397.47</v>
      </c>
      <c r="F342" s="23">
        <v>4397.47</v>
      </c>
      <c r="G342" s="2" t="b">
        <v>1</v>
      </c>
      <c r="H342" s="2">
        <v>0</v>
      </c>
      <c r="I342" s="1"/>
    </row>
    <row r="343" spans="2:9">
      <c r="B343" s="22">
        <v>7320</v>
      </c>
      <c r="C343" s="22">
        <v>1165.52</v>
      </c>
      <c r="D343" s="22">
        <v>1746.61</v>
      </c>
      <c r="E343" s="22">
        <v>4407.87</v>
      </c>
      <c r="F343" s="23"/>
      <c r="G343" s="2" t="b">
        <v>0</v>
      </c>
      <c r="H343" s="2"/>
      <c r="I343" s="1"/>
    </row>
    <row r="344" spans="2:9">
      <c r="B344" s="22">
        <v>7340</v>
      </c>
      <c r="C344" s="22">
        <v>1165.52</v>
      </c>
      <c r="D344" s="22">
        <v>1756.21</v>
      </c>
      <c r="E344" s="22">
        <v>4418.2700000000004</v>
      </c>
      <c r="F344" s="23"/>
      <c r="G344" s="2" t="b">
        <v>0</v>
      </c>
      <c r="H344" s="2"/>
      <c r="I344" s="1"/>
    </row>
    <row r="345" spans="2:9">
      <c r="B345" s="22">
        <v>7360</v>
      </c>
      <c r="C345" s="22">
        <v>1165.52</v>
      </c>
      <c r="D345" s="22">
        <v>1765.81</v>
      </c>
      <c r="E345" s="22">
        <v>4428.67</v>
      </c>
      <c r="F345" s="23"/>
      <c r="G345" s="2" t="b">
        <v>0</v>
      </c>
      <c r="H345" s="2"/>
      <c r="I345" s="1"/>
    </row>
    <row r="346" spans="2:9">
      <c r="B346" s="22">
        <v>7380</v>
      </c>
      <c r="C346" s="22">
        <v>1165.52</v>
      </c>
      <c r="D346" s="22">
        <v>1775.41</v>
      </c>
      <c r="E346" s="22">
        <v>4439.07</v>
      </c>
      <c r="F346" s="23"/>
      <c r="G346" s="2" t="b">
        <v>0</v>
      </c>
      <c r="H346" s="2"/>
      <c r="I346" s="1"/>
    </row>
    <row r="347" spans="2:9">
      <c r="B347" s="22">
        <v>7400</v>
      </c>
      <c r="C347" s="22">
        <v>1165.52</v>
      </c>
      <c r="D347" s="22">
        <v>1785.01</v>
      </c>
      <c r="E347" s="22">
        <v>4449.47</v>
      </c>
      <c r="F347" s="23">
        <v>4449.47</v>
      </c>
      <c r="G347" s="2" t="b">
        <v>1</v>
      </c>
      <c r="H347" s="2">
        <v>0</v>
      </c>
      <c r="I347" s="1"/>
    </row>
    <row r="348" spans="2:9">
      <c r="B348" s="22">
        <v>7420</v>
      </c>
      <c r="C348" s="22">
        <v>1165.52</v>
      </c>
      <c r="D348" s="22">
        <v>1794.61</v>
      </c>
      <c r="E348" s="22">
        <v>4459.87</v>
      </c>
      <c r="F348" s="23"/>
      <c r="G348" s="2" t="b">
        <v>0</v>
      </c>
      <c r="H348" s="2"/>
      <c r="I348" s="1"/>
    </row>
    <row r="349" spans="2:9">
      <c r="B349" s="22">
        <v>7440</v>
      </c>
      <c r="C349" s="22">
        <v>1165.52</v>
      </c>
      <c r="D349" s="22">
        <v>1804.21</v>
      </c>
      <c r="E349" s="22">
        <v>4470.2700000000004</v>
      </c>
      <c r="F349" s="23"/>
      <c r="G349" s="2" t="b">
        <v>0</v>
      </c>
      <c r="H349" s="2"/>
      <c r="I349" s="1"/>
    </row>
    <row r="350" spans="2:9">
      <c r="B350" s="22">
        <v>7460</v>
      </c>
      <c r="C350" s="22">
        <v>1165.52</v>
      </c>
      <c r="D350" s="22">
        <v>1813.81</v>
      </c>
      <c r="E350" s="22">
        <v>4480.67</v>
      </c>
      <c r="F350" s="23"/>
      <c r="G350" s="2" t="b">
        <v>0</v>
      </c>
      <c r="H350" s="2"/>
      <c r="I350" s="1"/>
    </row>
    <row r="351" spans="2:9">
      <c r="B351" s="22">
        <v>7480</v>
      </c>
      <c r="C351" s="22">
        <v>1165.52</v>
      </c>
      <c r="D351" s="22">
        <v>1823.41</v>
      </c>
      <c r="E351" s="22">
        <v>4491.07</v>
      </c>
      <c r="F351" s="23"/>
      <c r="G351" s="2" t="b">
        <v>0</v>
      </c>
      <c r="H351" s="2"/>
      <c r="I351" s="1"/>
    </row>
    <row r="352" spans="2:9">
      <c r="B352" s="22">
        <v>7500</v>
      </c>
      <c r="C352" s="22">
        <v>1165.52</v>
      </c>
      <c r="D352" s="22">
        <v>1833.01</v>
      </c>
      <c r="E352" s="22">
        <v>4501.47</v>
      </c>
      <c r="F352" s="23">
        <v>4501.47</v>
      </c>
      <c r="G352" s="2" t="b">
        <v>1</v>
      </c>
      <c r="H352" s="2">
        <v>0</v>
      </c>
      <c r="I352" s="1"/>
    </row>
    <row r="353" spans="2:9">
      <c r="B353" s="22">
        <v>7520</v>
      </c>
      <c r="C353" s="22">
        <v>1165.52</v>
      </c>
      <c r="D353" s="22">
        <v>1842.61</v>
      </c>
      <c r="E353" s="22">
        <v>4511.87</v>
      </c>
      <c r="F353" s="23"/>
      <c r="G353" s="2" t="b">
        <v>0</v>
      </c>
      <c r="H353" s="2"/>
      <c r="I353" s="1"/>
    </row>
    <row r="354" spans="2:9">
      <c r="B354" s="22">
        <v>7540</v>
      </c>
      <c r="C354" s="22">
        <v>1165.52</v>
      </c>
      <c r="D354" s="22">
        <v>1852.21</v>
      </c>
      <c r="E354" s="22">
        <v>4522.2700000000004</v>
      </c>
      <c r="F354" s="23"/>
      <c r="G354" s="2" t="b">
        <v>0</v>
      </c>
      <c r="H354" s="2"/>
      <c r="I354" s="1"/>
    </row>
    <row r="355" spans="2:9">
      <c r="B355" s="22">
        <v>7560</v>
      </c>
      <c r="C355" s="22">
        <v>1165.52</v>
      </c>
      <c r="D355" s="22">
        <v>1861.81</v>
      </c>
      <c r="E355" s="22">
        <v>4532.67</v>
      </c>
      <c r="F355" s="23"/>
      <c r="G355" s="2" t="b">
        <v>0</v>
      </c>
      <c r="H355" s="2"/>
      <c r="I355" s="1"/>
    </row>
    <row r="356" spans="2:9">
      <c r="B356" s="22">
        <v>7580</v>
      </c>
      <c r="C356" s="22">
        <v>1165.52</v>
      </c>
      <c r="D356" s="22">
        <v>1871.41</v>
      </c>
      <c r="E356" s="22">
        <v>4543.07</v>
      </c>
      <c r="F356" s="23"/>
      <c r="G356" s="2" t="b">
        <v>0</v>
      </c>
      <c r="H356" s="2"/>
      <c r="I356" s="1"/>
    </row>
    <row r="357" spans="2:9">
      <c r="B357" s="22">
        <v>7600</v>
      </c>
      <c r="C357" s="22">
        <v>1165.52</v>
      </c>
      <c r="D357" s="22">
        <v>1881.01</v>
      </c>
      <c r="E357" s="22">
        <v>4553.47</v>
      </c>
      <c r="F357" s="23">
        <v>4553.47</v>
      </c>
      <c r="G357" s="2" t="b">
        <v>1</v>
      </c>
      <c r="H357" s="2">
        <v>0</v>
      </c>
      <c r="I357" s="1"/>
    </row>
    <row r="358" spans="2:9">
      <c r="B358" s="22">
        <v>7620</v>
      </c>
      <c r="C358" s="22">
        <v>1165.52</v>
      </c>
      <c r="D358" s="22">
        <v>1890.61</v>
      </c>
      <c r="E358" s="22">
        <v>4563.87</v>
      </c>
      <c r="F358" s="23"/>
      <c r="G358" s="2" t="b">
        <v>0</v>
      </c>
      <c r="H358" s="2"/>
      <c r="I358" s="1"/>
    </row>
    <row r="359" spans="2:9">
      <c r="B359" s="22">
        <v>7640</v>
      </c>
      <c r="C359" s="22">
        <v>1165.52</v>
      </c>
      <c r="D359" s="22">
        <v>1900.21</v>
      </c>
      <c r="E359" s="22">
        <v>4574.2700000000004</v>
      </c>
      <c r="F359" s="23"/>
      <c r="G359" s="2" t="b">
        <v>0</v>
      </c>
      <c r="H359" s="2"/>
      <c r="I359" s="1"/>
    </row>
    <row r="360" spans="2:9">
      <c r="B360" s="22">
        <v>7660</v>
      </c>
      <c r="C360" s="22">
        <v>1165.52</v>
      </c>
      <c r="D360" s="22">
        <v>1909.81</v>
      </c>
      <c r="E360" s="22">
        <v>4584.67</v>
      </c>
      <c r="F360" s="23"/>
      <c r="G360" s="2" t="b">
        <v>0</v>
      </c>
      <c r="H360" s="2"/>
      <c r="I360" s="1"/>
    </row>
    <row r="361" spans="2:9">
      <c r="B361" s="22">
        <v>7680</v>
      </c>
      <c r="C361" s="22">
        <v>1165.52</v>
      </c>
      <c r="D361" s="22">
        <v>1919.41</v>
      </c>
      <c r="E361" s="22">
        <v>4595.07</v>
      </c>
      <c r="F361" s="23"/>
      <c r="G361" s="2" t="b">
        <v>0</v>
      </c>
      <c r="H361" s="2"/>
      <c r="I361" s="1"/>
    </row>
    <row r="362" spans="2:9">
      <c r="B362" s="22">
        <v>7700</v>
      </c>
      <c r="C362" s="22">
        <v>1165.52</v>
      </c>
      <c r="D362" s="22">
        <v>1929.01</v>
      </c>
      <c r="E362" s="22">
        <v>4605.47</v>
      </c>
      <c r="F362" s="23">
        <v>4605.47</v>
      </c>
      <c r="G362" s="2" t="b">
        <v>1</v>
      </c>
      <c r="H362" s="2">
        <v>0</v>
      </c>
      <c r="I362" s="1"/>
    </row>
    <row r="363" spans="2:9">
      <c r="B363" s="22">
        <v>7720</v>
      </c>
      <c r="C363" s="22">
        <v>1165.52</v>
      </c>
      <c r="D363" s="22">
        <v>1938.61</v>
      </c>
      <c r="E363" s="22">
        <v>4615.87</v>
      </c>
      <c r="F363" s="23"/>
      <c r="G363" s="2" t="b">
        <v>0</v>
      </c>
      <c r="H363" s="2"/>
      <c r="I363" s="1"/>
    </row>
    <row r="364" spans="2:9">
      <c r="B364" s="22">
        <v>7740</v>
      </c>
      <c r="C364" s="22">
        <v>1165.52</v>
      </c>
      <c r="D364" s="22">
        <v>1948.21</v>
      </c>
      <c r="E364" s="22">
        <v>4626.2700000000004</v>
      </c>
      <c r="F364" s="23"/>
      <c r="G364" s="2" t="b">
        <v>0</v>
      </c>
      <c r="H364" s="2"/>
      <c r="I364" s="1"/>
    </row>
    <row r="365" spans="2:9">
      <c r="B365" s="22">
        <v>7760</v>
      </c>
      <c r="C365" s="22">
        <v>1165.52</v>
      </c>
      <c r="D365" s="22">
        <v>1957.81</v>
      </c>
      <c r="E365" s="22">
        <v>4636.67</v>
      </c>
      <c r="F365" s="23"/>
      <c r="G365" s="2" t="b">
        <v>0</v>
      </c>
      <c r="H365" s="2"/>
      <c r="I365" s="1"/>
    </row>
    <row r="366" spans="2:9">
      <c r="B366" s="22">
        <v>7780</v>
      </c>
      <c r="C366" s="22">
        <v>1165.52</v>
      </c>
      <c r="D366" s="22">
        <v>1967.41</v>
      </c>
      <c r="E366" s="22">
        <v>4647.07</v>
      </c>
      <c r="F366" s="23"/>
      <c r="G366" s="2" t="b">
        <v>0</v>
      </c>
      <c r="H366" s="2"/>
      <c r="I366" s="1"/>
    </row>
    <row r="367" spans="2:9">
      <c r="B367" s="22">
        <v>7800</v>
      </c>
      <c r="C367" s="22">
        <v>1165.52</v>
      </c>
      <c r="D367" s="22">
        <v>1977.01</v>
      </c>
      <c r="E367" s="22">
        <v>4657.47</v>
      </c>
      <c r="F367" s="23">
        <v>4657.47</v>
      </c>
      <c r="G367" s="2" t="b">
        <v>1</v>
      </c>
      <c r="H367" s="2">
        <v>0</v>
      </c>
      <c r="I367" s="1"/>
    </row>
    <row r="368" spans="2:9">
      <c r="B368" s="22">
        <v>7820</v>
      </c>
      <c r="C368" s="22">
        <v>1165.52</v>
      </c>
      <c r="D368" s="22">
        <v>1986.61</v>
      </c>
      <c r="E368" s="22">
        <v>4667.87</v>
      </c>
      <c r="F368" s="23"/>
      <c r="G368" s="2" t="b">
        <v>0</v>
      </c>
      <c r="H368" s="2"/>
      <c r="I368" s="1"/>
    </row>
    <row r="369" spans="2:9">
      <c r="B369" s="22">
        <v>7840</v>
      </c>
      <c r="C369" s="22">
        <v>1165.52</v>
      </c>
      <c r="D369" s="22">
        <v>1996.21</v>
      </c>
      <c r="E369" s="22">
        <v>4678.2700000000004</v>
      </c>
      <c r="F369" s="23"/>
      <c r="G369" s="2" t="b">
        <v>0</v>
      </c>
      <c r="H369" s="2"/>
      <c r="I369" s="1"/>
    </row>
    <row r="370" spans="2:9">
      <c r="B370" s="22">
        <v>7860</v>
      </c>
      <c r="C370" s="22">
        <v>1165.52</v>
      </c>
      <c r="D370" s="22">
        <v>2005.81</v>
      </c>
      <c r="E370" s="22">
        <v>4688.67</v>
      </c>
      <c r="F370" s="23"/>
      <c r="G370" s="2" t="b">
        <v>0</v>
      </c>
      <c r="H370" s="2"/>
      <c r="I370" s="1"/>
    </row>
    <row r="371" spans="2:9">
      <c r="B371" s="22">
        <v>7880</v>
      </c>
      <c r="C371" s="22">
        <v>1165.52</v>
      </c>
      <c r="D371" s="22">
        <v>2015.41</v>
      </c>
      <c r="E371" s="22">
        <v>4699.07</v>
      </c>
      <c r="F371" s="23"/>
      <c r="G371" s="2" t="b">
        <v>0</v>
      </c>
      <c r="H371" s="2"/>
      <c r="I371" s="1"/>
    </row>
    <row r="372" spans="2:9">
      <c r="B372" s="22">
        <v>7900</v>
      </c>
      <c r="C372" s="22">
        <v>1165.52</v>
      </c>
      <c r="D372" s="22">
        <v>2025.01</v>
      </c>
      <c r="E372" s="22">
        <v>4709.47</v>
      </c>
      <c r="F372" s="23">
        <v>4709.47</v>
      </c>
      <c r="G372" s="2" t="b">
        <v>1</v>
      </c>
      <c r="H372" s="2">
        <v>0</v>
      </c>
      <c r="I372" s="1"/>
    </row>
    <row r="373" spans="2:9">
      <c r="B373" s="22">
        <v>7920</v>
      </c>
      <c r="C373" s="22">
        <v>1165.52</v>
      </c>
      <c r="D373" s="22">
        <v>2034.61</v>
      </c>
      <c r="E373" s="22">
        <v>4719.87</v>
      </c>
      <c r="F373" s="23"/>
      <c r="G373" s="2" t="b">
        <v>0</v>
      </c>
      <c r="H373" s="2"/>
      <c r="I373" s="1"/>
    </row>
    <row r="374" spans="2:9">
      <c r="B374" s="22">
        <v>7940</v>
      </c>
      <c r="C374" s="22">
        <v>1165.52</v>
      </c>
      <c r="D374" s="22">
        <v>2044.21</v>
      </c>
      <c r="E374" s="22">
        <v>4730.2700000000004</v>
      </c>
      <c r="F374" s="23"/>
      <c r="G374" s="2" t="b">
        <v>0</v>
      </c>
      <c r="H374" s="2"/>
      <c r="I374" s="1"/>
    </row>
    <row r="375" spans="2:9">
      <c r="B375" s="22">
        <v>7960</v>
      </c>
      <c r="C375" s="22">
        <v>1165.52</v>
      </c>
      <c r="D375" s="22">
        <v>2053.81</v>
      </c>
      <c r="E375" s="22">
        <v>4740.67</v>
      </c>
      <c r="F375" s="23"/>
      <c r="G375" s="2" t="b">
        <v>0</v>
      </c>
      <c r="H375" s="2"/>
      <c r="I375" s="1"/>
    </row>
    <row r="376" spans="2:9">
      <c r="B376" s="22">
        <v>7980</v>
      </c>
      <c r="C376" s="22">
        <v>1165.52</v>
      </c>
      <c r="D376" s="22">
        <v>2063.41</v>
      </c>
      <c r="E376" s="22">
        <v>4751.07</v>
      </c>
      <c r="F376" s="23"/>
      <c r="G376" s="2" t="b">
        <v>0</v>
      </c>
      <c r="H376" s="2"/>
      <c r="I376" s="1"/>
    </row>
    <row r="377" spans="2:9">
      <c r="B377" s="22">
        <v>8000</v>
      </c>
      <c r="C377" s="22">
        <v>1165.52</v>
      </c>
      <c r="D377" s="22">
        <v>2073.0100000000002</v>
      </c>
      <c r="E377" s="22">
        <v>4761.47</v>
      </c>
      <c r="F377" s="23">
        <v>4761.47</v>
      </c>
      <c r="G377" s="2" t="b">
        <v>1</v>
      </c>
      <c r="H377" s="2">
        <v>0</v>
      </c>
      <c r="I377" s="1"/>
    </row>
    <row r="378" spans="2:9">
      <c r="B378" s="22">
        <v>8020</v>
      </c>
      <c r="C378" s="22">
        <v>1165.52</v>
      </c>
      <c r="D378" s="22">
        <v>2082.61</v>
      </c>
      <c r="E378" s="22">
        <v>4771.87</v>
      </c>
      <c r="F378" s="23"/>
      <c r="G378" s="2" t="b">
        <v>0</v>
      </c>
      <c r="H378" s="2"/>
      <c r="I378" s="1"/>
    </row>
    <row r="379" spans="2:9">
      <c r="B379" s="22">
        <v>8040</v>
      </c>
      <c r="C379" s="22">
        <v>1165.52</v>
      </c>
      <c r="D379" s="22">
        <v>2092.21</v>
      </c>
      <c r="E379" s="22">
        <v>4782.2700000000004</v>
      </c>
      <c r="F379" s="23"/>
      <c r="G379" s="2" t="b">
        <v>0</v>
      </c>
      <c r="H379" s="2"/>
      <c r="I379" s="1"/>
    </row>
    <row r="380" spans="2:9">
      <c r="B380" s="22">
        <v>8060</v>
      </c>
      <c r="C380" s="22">
        <v>1165.52</v>
      </c>
      <c r="D380" s="22">
        <v>2101.81</v>
      </c>
      <c r="E380" s="22">
        <v>4792.67</v>
      </c>
      <c r="F380" s="23"/>
      <c r="G380" s="2" t="b">
        <v>0</v>
      </c>
      <c r="H380" s="2"/>
      <c r="I380" s="1"/>
    </row>
    <row r="381" spans="2:9">
      <c r="B381" s="22">
        <v>8080</v>
      </c>
      <c r="C381" s="22">
        <v>1165.52</v>
      </c>
      <c r="D381" s="22">
        <v>2111.41</v>
      </c>
      <c r="E381" s="22">
        <v>4803.07</v>
      </c>
      <c r="F381" s="23"/>
      <c r="G381" s="2" t="b">
        <v>0</v>
      </c>
      <c r="H381" s="2"/>
      <c r="I381" s="1"/>
    </row>
    <row r="382" spans="2:9">
      <c r="B382" s="22">
        <v>8100</v>
      </c>
      <c r="C382" s="22">
        <v>1165.52</v>
      </c>
      <c r="D382" s="22">
        <v>2121.0100000000002</v>
      </c>
      <c r="E382" s="22">
        <v>4813.47</v>
      </c>
      <c r="F382" s="23">
        <v>4813.47</v>
      </c>
      <c r="G382" s="2" t="b">
        <v>1</v>
      </c>
      <c r="H382" s="2">
        <v>0</v>
      </c>
      <c r="I382" s="1"/>
    </row>
    <row r="383" spans="2:9">
      <c r="B383" s="22">
        <v>8120</v>
      </c>
      <c r="C383" s="22">
        <v>1165.52</v>
      </c>
      <c r="D383" s="22">
        <v>2130.61</v>
      </c>
      <c r="E383" s="22">
        <v>4823.87</v>
      </c>
      <c r="F383" s="23"/>
      <c r="G383" s="2" t="b">
        <v>0</v>
      </c>
      <c r="H383" s="2"/>
      <c r="I383" s="1"/>
    </row>
    <row r="384" spans="2:9">
      <c r="B384" s="22">
        <v>8140</v>
      </c>
      <c r="C384" s="22">
        <v>1165.52</v>
      </c>
      <c r="D384" s="22">
        <v>2140.21</v>
      </c>
      <c r="E384" s="22">
        <v>4834.2700000000004</v>
      </c>
      <c r="F384" s="23"/>
      <c r="G384" s="2" t="b">
        <v>0</v>
      </c>
      <c r="H384" s="2"/>
      <c r="I384" s="1"/>
    </row>
    <row r="385" spans="2:9">
      <c r="B385" s="22">
        <v>8160</v>
      </c>
      <c r="C385" s="22">
        <v>1165.52</v>
      </c>
      <c r="D385" s="22">
        <v>2149.81</v>
      </c>
      <c r="E385" s="22">
        <v>4844.67</v>
      </c>
      <c r="F385" s="23"/>
      <c r="G385" s="2" t="b">
        <v>0</v>
      </c>
      <c r="H385" s="2"/>
      <c r="I385" s="1"/>
    </row>
    <row r="386" spans="2:9">
      <c r="B386" s="22">
        <v>8180</v>
      </c>
      <c r="C386" s="22">
        <v>1165.52</v>
      </c>
      <c r="D386" s="22">
        <v>2159.41</v>
      </c>
      <c r="E386" s="22">
        <v>4855.07</v>
      </c>
      <c r="F386" s="23"/>
      <c r="G386" s="2" t="b">
        <v>0</v>
      </c>
      <c r="H386" s="2"/>
      <c r="I386" s="1"/>
    </row>
    <row r="387" spans="2:9">
      <c r="B387" s="22">
        <v>8200</v>
      </c>
      <c r="C387" s="22">
        <v>1165.52</v>
      </c>
      <c r="D387" s="22">
        <v>2169.0100000000002</v>
      </c>
      <c r="E387" s="22">
        <v>4865.47</v>
      </c>
      <c r="F387" s="23">
        <v>4865.47</v>
      </c>
      <c r="G387" s="2" t="b">
        <v>1</v>
      </c>
      <c r="H387" s="2">
        <v>0</v>
      </c>
      <c r="I387" s="1"/>
    </row>
    <row r="388" spans="2:9">
      <c r="B388" s="22">
        <v>8220</v>
      </c>
      <c r="C388" s="22">
        <v>1165.52</v>
      </c>
      <c r="D388" s="22">
        <v>2178.61</v>
      </c>
      <c r="E388" s="22">
        <v>4875.87</v>
      </c>
      <c r="F388" s="23"/>
      <c r="G388" s="2" t="b">
        <v>0</v>
      </c>
      <c r="H388" s="2"/>
      <c r="I388" s="1"/>
    </row>
    <row r="389" spans="2:9">
      <c r="B389" s="22">
        <v>8240</v>
      </c>
      <c r="C389" s="22">
        <v>1165.52</v>
      </c>
      <c r="D389" s="22">
        <v>2188.21</v>
      </c>
      <c r="E389" s="22">
        <v>4886.2700000000004</v>
      </c>
      <c r="F389" s="23"/>
      <c r="G389" s="2" t="b">
        <v>0</v>
      </c>
      <c r="H389" s="2"/>
      <c r="I389" s="1"/>
    </row>
    <row r="390" spans="2:9">
      <c r="B390" s="22">
        <v>8260</v>
      </c>
      <c r="C390" s="22">
        <v>1165.52</v>
      </c>
      <c r="D390" s="22">
        <v>2197.81</v>
      </c>
      <c r="E390" s="22">
        <v>4896.67</v>
      </c>
      <c r="F390" s="23"/>
      <c r="G390" s="2" t="b">
        <v>0</v>
      </c>
      <c r="H390" s="2"/>
      <c r="I390" s="1"/>
    </row>
    <row r="391" spans="2:9">
      <c r="B391" s="22">
        <v>8280</v>
      </c>
      <c r="C391" s="22">
        <v>1165.52</v>
      </c>
      <c r="D391" s="22">
        <v>2207.41</v>
      </c>
      <c r="E391" s="22">
        <v>4907.07</v>
      </c>
      <c r="F391" s="23"/>
      <c r="G391" s="2" t="b">
        <v>0</v>
      </c>
      <c r="H391" s="2"/>
      <c r="I391" s="1"/>
    </row>
    <row r="392" spans="2:9">
      <c r="B392" s="22">
        <v>8300</v>
      </c>
      <c r="C392" s="22">
        <v>1165.52</v>
      </c>
      <c r="D392" s="22">
        <v>2217.0100000000002</v>
      </c>
      <c r="E392" s="22">
        <v>4917.47</v>
      </c>
      <c r="F392" s="23">
        <v>4917.47</v>
      </c>
      <c r="G392" s="2" t="b">
        <v>1</v>
      </c>
      <c r="H392" s="2">
        <v>0</v>
      </c>
      <c r="I392" s="1"/>
    </row>
    <row r="393" spans="2:9">
      <c r="B393" s="22">
        <v>8320</v>
      </c>
      <c r="C393" s="22">
        <v>1165.52</v>
      </c>
      <c r="D393" s="22">
        <v>2226.61</v>
      </c>
      <c r="E393" s="22">
        <v>4927.87</v>
      </c>
      <c r="F393" s="23"/>
      <c r="G393" s="2" t="b">
        <v>0</v>
      </c>
      <c r="H393" s="2"/>
      <c r="I393" s="1"/>
    </row>
    <row r="394" spans="2:9">
      <c r="B394" s="22">
        <v>8340</v>
      </c>
      <c r="C394" s="22">
        <v>1165.52</v>
      </c>
      <c r="D394" s="22">
        <v>2236.21</v>
      </c>
      <c r="E394" s="22">
        <v>4938.2700000000004</v>
      </c>
      <c r="F394" s="23"/>
      <c r="G394" s="2" t="b">
        <v>0</v>
      </c>
      <c r="H394" s="2"/>
      <c r="I394" s="1"/>
    </row>
    <row r="395" spans="2:9">
      <c r="B395" s="22">
        <v>8360</v>
      </c>
      <c r="C395" s="22">
        <v>1165.52</v>
      </c>
      <c r="D395" s="22">
        <v>2245.81</v>
      </c>
      <c r="E395" s="22">
        <v>4948.67</v>
      </c>
      <c r="F395" s="23"/>
      <c r="G395" s="2" t="b">
        <v>0</v>
      </c>
      <c r="H395" s="2"/>
      <c r="I395" s="1"/>
    </row>
    <row r="396" spans="2:9">
      <c r="B396" s="22">
        <v>8380</v>
      </c>
      <c r="C396" s="22">
        <v>1165.52</v>
      </c>
      <c r="D396" s="22">
        <v>2255.41</v>
      </c>
      <c r="E396" s="22">
        <v>4959.07</v>
      </c>
      <c r="F396" s="23"/>
      <c r="G396" s="2" t="b">
        <v>0</v>
      </c>
      <c r="H396" s="2"/>
      <c r="I396" s="1"/>
    </row>
    <row r="397" spans="2:9">
      <c r="B397" s="22">
        <v>8400</v>
      </c>
      <c r="C397" s="22">
        <v>1165.52</v>
      </c>
      <c r="D397" s="22">
        <v>2265.0100000000002</v>
      </c>
      <c r="E397" s="22">
        <v>4969.47</v>
      </c>
      <c r="F397" s="23">
        <v>4969.47</v>
      </c>
      <c r="G397" s="2" t="b">
        <v>1</v>
      </c>
      <c r="H397" s="2">
        <v>0</v>
      </c>
      <c r="I397" s="1"/>
    </row>
    <row r="398" spans="2:9">
      <c r="B398" s="22">
        <v>8420</v>
      </c>
      <c r="C398" s="22">
        <v>1165.52</v>
      </c>
      <c r="D398" s="22">
        <v>2274.61</v>
      </c>
      <c r="E398" s="22">
        <v>4979.87</v>
      </c>
      <c r="F398" s="23"/>
      <c r="G398" s="2" t="b">
        <v>0</v>
      </c>
      <c r="H398" s="2"/>
      <c r="I398" s="1"/>
    </row>
    <row r="399" spans="2:9">
      <c r="B399" s="22">
        <v>8440</v>
      </c>
      <c r="C399" s="22">
        <v>1165.52</v>
      </c>
      <c r="D399" s="22">
        <v>2284.21</v>
      </c>
      <c r="E399" s="22">
        <v>4990.2700000000004</v>
      </c>
      <c r="F399" s="23"/>
      <c r="G399" s="2" t="b">
        <v>0</v>
      </c>
      <c r="H399" s="2"/>
      <c r="I399" s="1"/>
    </row>
    <row r="400" spans="2:9">
      <c r="B400" s="22">
        <v>8460</v>
      </c>
      <c r="C400" s="22">
        <v>1165.52</v>
      </c>
      <c r="D400" s="22">
        <v>2293.81</v>
      </c>
      <c r="E400" s="22">
        <v>5000.67</v>
      </c>
      <c r="F400" s="23"/>
      <c r="G400" s="2" t="b">
        <v>0</v>
      </c>
      <c r="H400" s="2"/>
      <c r="I400" s="1"/>
    </row>
    <row r="401" spans="2:9">
      <c r="B401" s="22">
        <v>8480</v>
      </c>
      <c r="C401" s="22">
        <v>1165.52</v>
      </c>
      <c r="D401" s="22">
        <v>2303.41</v>
      </c>
      <c r="E401" s="22">
        <v>5011.07</v>
      </c>
      <c r="F401" s="23"/>
      <c r="G401" s="2" t="b">
        <v>0</v>
      </c>
      <c r="H401" s="2"/>
      <c r="I401" s="1"/>
    </row>
    <row r="402" spans="2:9">
      <c r="B402" s="22">
        <v>8500</v>
      </c>
      <c r="C402" s="22">
        <v>1165.52</v>
      </c>
      <c r="D402" s="22">
        <v>2313.0100000000002</v>
      </c>
      <c r="E402" s="22">
        <v>5021.47</v>
      </c>
      <c r="F402" s="23">
        <v>5021.47</v>
      </c>
      <c r="G402" s="2" t="b">
        <v>1</v>
      </c>
      <c r="H402" s="2">
        <v>0</v>
      </c>
      <c r="I402" s="1"/>
    </row>
    <row r="403" spans="2:9">
      <c r="B403" s="22">
        <v>8520</v>
      </c>
      <c r="C403" s="22">
        <v>1165.52</v>
      </c>
      <c r="D403" s="22">
        <v>2322.61</v>
      </c>
      <c r="E403" s="22">
        <v>5031.87</v>
      </c>
      <c r="F403" s="23"/>
      <c r="G403" s="2" t="b">
        <v>0</v>
      </c>
      <c r="H403" s="2"/>
      <c r="I403" s="1"/>
    </row>
    <row r="404" spans="2:9">
      <c r="B404" s="22">
        <v>8540</v>
      </c>
      <c r="C404" s="22">
        <v>1165.52</v>
      </c>
      <c r="D404" s="22">
        <v>2332.21</v>
      </c>
      <c r="E404" s="22">
        <v>5042.2700000000004</v>
      </c>
      <c r="F404" s="23"/>
      <c r="G404" s="2" t="b">
        <v>0</v>
      </c>
      <c r="H404" s="2"/>
      <c r="I404" s="1"/>
    </row>
    <row r="405" spans="2:9">
      <c r="B405" s="22">
        <v>8560</v>
      </c>
      <c r="C405" s="22">
        <v>1165.52</v>
      </c>
      <c r="D405" s="22">
        <v>2341.81</v>
      </c>
      <c r="E405" s="22">
        <v>5052.67</v>
      </c>
      <c r="F405" s="23"/>
      <c r="G405" s="2" t="b">
        <v>0</v>
      </c>
      <c r="H405" s="2"/>
      <c r="I405" s="1"/>
    </row>
    <row r="406" spans="2:9">
      <c r="B406" s="22">
        <v>8580</v>
      </c>
      <c r="C406" s="22">
        <v>1165.52</v>
      </c>
      <c r="D406" s="22">
        <v>2351.41</v>
      </c>
      <c r="E406" s="22">
        <v>5063.07</v>
      </c>
      <c r="F406" s="23"/>
      <c r="G406" s="2" t="b">
        <v>0</v>
      </c>
      <c r="H406" s="2"/>
      <c r="I406" s="1"/>
    </row>
    <row r="407" spans="2:9">
      <c r="B407" s="22">
        <v>8600</v>
      </c>
      <c r="C407" s="22">
        <v>1165.52</v>
      </c>
      <c r="D407" s="22">
        <v>2361.0100000000002</v>
      </c>
      <c r="E407" s="22">
        <v>5073.47</v>
      </c>
      <c r="F407" s="23">
        <v>5073.47</v>
      </c>
      <c r="G407" s="2" t="b">
        <v>1</v>
      </c>
      <c r="H407" s="2">
        <v>0</v>
      </c>
      <c r="I407" s="1"/>
    </row>
    <row r="408" spans="2:9">
      <c r="B408" s="22">
        <v>8620</v>
      </c>
      <c r="C408" s="22">
        <v>1165.52</v>
      </c>
      <c r="D408" s="22">
        <v>2370.61</v>
      </c>
      <c r="E408" s="22">
        <v>5083.87</v>
      </c>
      <c r="F408" s="23"/>
      <c r="G408" s="2" t="b">
        <v>0</v>
      </c>
      <c r="H408" s="2"/>
      <c r="I408" s="1"/>
    </row>
    <row r="409" spans="2:9">
      <c r="B409" s="22">
        <v>8640</v>
      </c>
      <c r="C409" s="22">
        <v>1165.52</v>
      </c>
      <c r="D409" s="22">
        <v>2380.21</v>
      </c>
      <c r="E409" s="22">
        <v>5094.2700000000004</v>
      </c>
      <c r="F409" s="23"/>
      <c r="G409" s="2" t="b">
        <v>0</v>
      </c>
      <c r="H409" s="2"/>
      <c r="I409" s="1"/>
    </row>
    <row r="410" spans="2:9">
      <c r="B410" s="22">
        <v>8660</v>
      </c>
      <c r="C410" s="22">
        <v>1165.52</v>
      </c>
      <c r="D410" s="22">
        <v>2389.81</v>
      </c>
      <c r="E410" s="22">
        <v>5104.67</v>
      </c>
      <c r="F410" s="23"/>
      <c r="G410" s="2" t="b">
        <v>0</v>
      </c>
      <c r="H410" s="2"/>
      <c r="I410" s="1"/>
    </row>
    <row r="411" spans="2:9">
      <c r="B411" s="22">
        <v>8680</v>
      </c>
      <c r="C411" s="22">
        <v>1165.52</v>
      </c>
      <c r="D411" s="22">
        <v>2399.41</v>
      </c>
      <c r="E411" s="22">
        <v>5115.07</v>
      </c>
      <c r="F411" s="23"/>
      <c r="G411" s="2" t="b">
        <v>0</v>
      </c>
      <c r="H411" s="2"/>
      <c r="I411" s="1"/>
    </row>
    <row r="412" spans="2:9">
      <c r="B412" s="22">
        <v>8700</v>
      </c>
      <c r="C412" s="22">
        <v>1165.52</v>
      </c>
      <c r="D412" s="22">
        <v>2409.0100000000002</v>
      </c>
      <c r="E412" s="22">
        <v>5125.47</v>
      </c>
      <c r="F412" s="23">
        <v>5125.47</v>
      </c>
      <c r="G412" s="2" t="b">
        <v>1</v>
      </c>
      <c r="H412" s="2">
        <v>0</v>
      </c>
      <c r="I412" s="1"/>
    </row>
    <row r="413" spans="2:9">
      <c r="B413" s="22">
        <v>8720</v>
      </c>
      <c r="C413" s="22">
        <v>1165.52</v>
      </c>
      <c r="D413" s="22">
        <v>2418.61</v>
      </c>
      <c r="E413" s="22">
        <v>5135.87</v>
      </c>
      <c r="F413" s="23"/>
      <c r="G413" s="2" t="b">
        <v>0</v>
      </c>
      <c r="H413" s="2"/>
      <c r="I413" s="1"/>
    </row>
    <row r="414" spans="2:9">
      <c r="B414" s="22">
        <v>8740</v>
      </c>
      <c r="C414" s="22">
        <v>1165.52</v>
      </c>
      <c r="D414" s="22">
        <v>2428.21</v>
      </c>
      <c r="E414" s="22">
        <v>5146.2700000000004</v>
      </c>
      <c r="F414" s="23"/>
      <c r="G414" s="2" t="b">
        <v>0</v>
      </c>
      <c r="H414" s="2"/>
      <c r="I414" s="1"/>
    </row>
    <row r="415" spans="2:9">
      <c r="B415" s="22">
        <v>8760</v>
      </c>
      <c r="C415" s="22">
        <v>1165.52</v>
      </c>
      <c r="D415" s="22">
        <v>2437.81</v>
      </c>
      <c r="E415" s="22">
        <v>5156.67</v>
      </c>
      <c r="F415" s="23"/>
      <c r="G415" s="2" t="b">
        <v>0</v>
      </c>
      <c r="H415" s="2"/>
      <c r="I415" s="1"/>
    </row>
    <row r="416" spans="2:9">
      <c r="B416" s="22">
        <v>8780</v>
      </c>
      <c r="C416" s="22">
        <v>1165.52</v>
      </c>
      <c r="D416" s="22">
        <v>2447.41</v>
      </c>
      <c r="E416" s="22">
        <v>5167.07</v>
      </c>
      <c r="F416" s="23"/>
      <c r="G416" s="2" t="b">
        <v>0</v>
      </c>
      <c r="H416" s="2"/>
      <c r="I416" s="1"/>
    </row>
    <row r="417" spans="2:9">
      <c r="B417" s="22">
        <v>8800</v>
      </c>
      <c r="C417" s="22">
        <v>1165.52</v>
      </c>
      <c r="D417" s="22">
        <v>2457.0100000000002</v>
      </c>
      <c r="E417" s="22">
        <v>5177.47</v>
      </c>
      <c r="F417" s="23">
        <v>5177.47</v>
      </c>
      <c r="G417" s="2" t="b">
        <v>1</v>
      </c>
      <c r="H417" s="2">
        <v>0</v>
      </c>
      <c r="I417" s="1"/>
    </row>
    <row r="418" spans="2:9">
      <c r="B418" s="22">
        <v>8820</v>
      </c>
      <c r="C418" s="22">
        <v>1165.52</v>
      </c>
      <c r="D418" s="22">
        <v>2466.61</v>
      </c>
      <c r="E418" s="22">
        <v>5187.87</v>
      </c>
      <c r="F418" s="23"/>
      <c r="G418" s="2" t="b">
        <v>0</v>
      </c>
      <c r="H418" s="2"/>
      <c r="I418" s="1"/>
    </row>
    <row r="419" spans="2:9">
      <c r="B419" s="22">
        <v>8840</v>
      </c>
      <c r="C419" s="22">
        <v>1165.52</v>
      </c>
      <c r="D419" s="22">
        <v>2476.21</v>
      </c>
      <c r="E419" s="22">
        <v>5198.2700000000004</v>
      </c>
      <c r="F419" s="23"/>
      <c r="G419" s="2" t="b">
        <v>0</v>
      </c>
      <c r="H419" s="2"/>
      <c r="I419" s="1"/>
    </row>
    <row r="420" spans="2:9">
      <c r="B420" s="22">
        <v>8860</v>
      </c>
      <c r="C420" s="22">
        <v>1165.52</v>
      </c>
      <c r="D420" s="22">
        <v>2485.81</v>
      </c>
      <c r="E420" s="22">
        <v>5208.67</v>
      </c>
      <c r="F420" s="23"/>
      <c r="G420" s="2" t="b">
        <v>0</v>
      </c>
      <c r="H420" s="2"/>
      <c r="I420" s="1"/>
    </row>
    <row r="421" spans="2:9">
      <c r="B421" s="22">
        <v>8880</v>
      </c>
      <c r="C421" s="22">
        <v>1165.52</v>
      </c>
      <c r="D421" s="22">
        <v>2495.41</v>
      </c>
      <c r="E421" s="22">
        <v>5219.07</v>
      </c>
      <c r="F421" s="23"/>
      <c r="G421" s="2" t="b">
        <v>0</v>
      </c>
      <c r="H421" s="2"/>
      <c r="I421" s="1"/>
    </row>
    <row r="422" spans="2:9">
      <c r="B422" s="22">
        <v>8900</v>
      </c>
      <c r="C422" s="22">
        <v>1165.52</v>
      </c>
      <c r="D422" s="22">
        <v>2505.0100000000002</v>
      </c>
      <c r="E422" s="22">
        <v>5229.47</v>
      </c>
      <c r="F422" s="23">
        <v>5229.47</v>
      </c>
      <c r="G422" s="2" t="b">
        <v>1</v>
      </c>
      <c r="H422" s="2">
        <v>0</v>
      </c>
      <c r="I422" s="1"/>
    </row>
    <row r="423" spans="2:9">
      <c r="B423" s="22">
        <v>8920</v>
      </c>
      <c r="C423" s="22">
        <v>1165.52</v>
      </c>
      <c r="D423" s="22">
        <v>2514.61</v>
      </c>
      <c r="E423" s="22">
        <v>5239.87</v>
      </c>
      <c r="F423" s="23"/>
      <c r="G423" s="2" t="b">
        <v>0</v>
      </c>
      <c r="H423" s="2"/>
      <c r="I423" s="1"/>
    </row>
    <row r="424" spans="2:9">
      <c r="B424" s="22">
        <v>8940</v>
      </c>
      <c r="C424" s="22">
        <v>1165.52</v>
      </c>
      <c r="D424" s="22">
        <v>2524.21</v>
      </c>
      <c r="E424" s="22">
        <v>5250.27</v>
      </c>
      <c r="F424" s="23"/>
      <c r="G424" s="2" t="b">
        <v>0</v>
      </c>
      <c r="H424" s="2"/>
      <c r="I424" s="1"/>
    </row>
    <row r="425" spans="2:9">
      <c r="B425" s="22">
        <v>8960</v>
      </c>
      <c r="C425" s="22">
        <v>1165.52</v>
      </c>
      <c r="D425" s="22">
        <v>2533.81</v>
      </c>
      <c r="E425" s="22">
        <v>5260.67</v>
      </c>
      <c r="F425" s="23"/>
      <c r="G425" s="2" t="b">
        <v>0</v>
      </c>
      <c r="H425" s="2"/>
      <c r="I425" s="1"/>
    </row>
    <row r="426" spans="2:9">
      <c r="B426" s="22">
        <v>8980</v>
      </c>
      <c r="C426" s="22">
        <v>1165.52</v>
      </c>
      <c r="D426" s="22">
        <v>2543.41</v>
      </c>
      <c r="E426" s="22">
        <v>5271.07</v>
      </c>
      <c r="F426" s="23"/>
      <c r="G426" s="2" t="b">
        <v>0</v>
      </c>
      <c r="H426" s="2"/>
      <c r="I426" s="1"/>
    </row>
    <row r="427" spans="2:9">
      <c r="B427" s="22">
        <v>9000</v>
      </c>
      <c r="C427" s="22">
        <v>1165.52</v>
      </c>
      <c r="D427" s="22">
        <v>2553.0100000000002</v>
      </c>
      <c r="E427" s="22">
        <v>5281.47</v>
      </c>
      <c r="F427" s="23">
        <v>5281.47</v>
      </c>
      <c r="G427" s="2" t="b">
        <v>1</v>
      </c>
      <c r="H427" s="2">
        <v>0</v>
      </c>
      <c r="I427" s="1"/>
    </row>
    <row r="428" spans="2:9">
      <c r="B428" s="22">
        <v>9020</v>
      </c>
      <c r="C428" s="22">
        <v>1165.52</v>
      </c>
      <c r="D428" s="22">
        <v>2562.61</v>
      </c>
      <c r="E428" s="22">
        <v>5291.87</v>
      </c>
      <c r="F428" s="23"/>
      <c r="G428" s="2" t="b">
        <v>0</v>
      </c>
      <c r="H428" s="2"/>
      <c r="I428" s="1"/>
    </row>
    <row r="429" spans="2:9">
      <c r="B429" s="22">
        <v>9040</v>
      </c>
      <c r="C429" s="22">
        <v>1165.52</v>
      </c>
      <c r="D429" s="22">
        <v>2572.21</v>
      </c>
      <c r="E429" s="22">
        <v>5302.27</v>
      </c>
      <c r="F429" s="23"/>
      <c r="G429" s="2" t="b">
        <v>0</v>
      </c>
      <c r="H429" s="2"/>
      <c r="I429" s="1"/>
    </row>
    <row r="430" spans="2:9">
      <c r="B430" s="22">
        <v>9060</v>
      </c>
      <c r="C430" s="22">
        <v>1165.52</v>
      </c>
      <c r="D430" s="22">
        <v>2581.81</v>
      </c>
      <c r="E430" s="22">
        <v>5312.67</v>
      </c>
      <c r="F430" s="23"/>
      <c r="G430" s="2" t="b">
        <v>0</v>
      </c>
      <c r="H430" s="2"/>
      <c r="I430" s="1"/>
    </row>
    <row r="431" spans="2:9">
      <c r="B431" s="22">
        <v>9080</v>
      </c>
      <c r="C431" s="22">
        <v>1165.52</v>
      </c>
      <c r="D431" s="22">
        <v>2591.41</v>
      </c>
      <c r="E431" s="22">
        <v>5323.07</v>
      </c>
      <c r="F431" s="23"/>
      <c r="G431" s="2" t="b">
        <v>0</v>
      </c>
      <c r="H431" s="2"/>
      <c r="I431" s="1"/>
    </row>
    <row r="432" spans="2:9">
      <c r="B432" s="22">
        <v>9100</v>
      </c>
      <c r="C432" s="22">
        <v>1165.52</v>
      </c>
      <c r="D432" s="22">
        <v>2601.0100000000002</v>
      </c>
      <c r="E432" s="22">
        <v>5333.47</v>
      </c>
      <c r="F432" s="23">
        <v>5333.47</v>
      </c>
      <c r="G432" s="2" t="b">
        <v>1</v>
      </c>
      <c r="H432" s="2">
        <v>0</v>
      </c>
      <c r="I432" s="1"/>
    </row>
    <row r="433" spans="2:9">
      <c r="B433" s="22">
        <v>9120</v>
      </c>
      <c r="C433" s="22">
        <v>1165.52</v>
      </c>
      <c r="D433" s="22">
        <v>2610.61</v>
      </c>
      <c r="E433" s="22">
        <v>5343.87</v>
      </c>
      <c r="F433" s="23"/>
      <c r="G433" s="2" t="b">
        <v>0</v>
      </c>
      <c r="H433" s="2"/>
      <c r="I433" s="1"/>
    </row>
    <row r="434" spans="2:9">
      <c r="B434" s="22">
        <v>9140</v>
      </c>
      <c r="C434" s="22">
        <v>1165.52</v>
      </c>
      <c r="D434" s="22">
        <v>2620.21</v>
      </c>
      <c r="E434" s="22">
        <v>5354.27</v>
      </c>
      <c r="F434" s="23"/>
      <c r="G434" s="2" t="b">
        <v>0</v>
      </c>
      <c r="H434" s="2"/>
      <c r="I434" s="1"/>
    </row>
    <row r="435" spans="2:9">
      <c r="B435" s="22">
        <v>9160</v>
      </c>
      <c r="C435" s="22">
        <v>1165.52</v>
      </c>
      <c r="D435" s="22">
        <v>2629.81</v>
      </c>
      <c r="E435" s="22">
        <v>5364.67</v>
      </c>
      <c r="F435" s="23"/>
      <c r="G435" s="2" t="b">
        <v>0</v>
      </c>
      <c r="H435" s="2"/>
      <c r="I435" s="1"/>
    </row>
    <row r="436" spans="2:9">
      <c r="B436" s="22">
        <v>9180</v>
      </c>
      <c r="C436" s="22">
        <v>1165.52</v>
      </c>
      <c r="D436" s="22">
        <v>2639.41</v>
      </c>
      <c r="E436" s="22">
        <v>5375.07</v>
      </c>
      <c r="F436" s="23"/>
      <c r="G436" s="2" t="b">
        <v>0</v>
      </c>
      <c r="H436" s="2"/>
      <c r="I436" s="1"/>
    </row>
    <row r="437" spans="2:9">
      <c r="B437" s="22">
        <v>9200</v>
      </c>
      <c r="C437" s="22">
        <v>1165.52</v>
      </c>
      <c r="D437" s="22">
        <v>2649.01</v>
      </c>
      <c r="E437" s="22">
        <v>5385.47</v>
      </c>
      <c r="F437" s="23">
        <v>5385.47</v>
      </c>
      <c r="G437" s="2" t="b">
        <v>1</v>
      </c>
      <c r="H437" s="2">
        <v>0</v>
      </c>
      <c r="I437" s="1"/>
    </row>
    <row r="438" spans="2:9">
      <c r="B438" s="22">
        <v>9220</v>
      </c>
      <c r="C438" s="22">
        <v>1165.52</v>
      </c>
      <c r="D438" s="22">
        <v>2658.61</v>
      </c>
      <c r="E438" s="22">
        <v>5395.87</v>
      </c>
      <c r="F438" s="23"/>
      <c r="G438" s="2" t="b">
        <v>0</v>
      </c>
      <c r="H438" s="2"/>
      <c r="I438" s="1"/>
    </row>
    <row r="439" spans="2:9">
      <c r="B439" s="22">
        <v>9240</v>
      </c>
      <c r="C439" s="22">
        <v>1165.52</v>
      </c>
      <c r="D439" s="22">
        <v>2668.21</v>
      </c>
      <c r="E439" s="22">
        <v>5406.27</v>
      </c>
      <c r="F439" s="23"/>
      <c r="G439" s="2" t="b">
        <v>0</v>
      </c>
      <c r="H439" s="2"/>
      <c r="I439" s="1"/>
    </row>
    <row r="440" spans="2:9">
      <c r="B440" s="22">
        <v>9260</v>
      </c>
      <c r="C440" s="22">
        <v>1165.52</v>
      </c>
      <c r="D440" s="22">
        <v>2677.81</v>
      </c>
      <c r="E440" s="22">
        <v>5416.67</v>
      </c>
      <c r="F440" s="23"/>
      <c r="G440" s="2" t="b">
        <v>0</v>
      </c>
      <c r="H440" s="2"/>
      <c r="I440" s="1"/>
    </row>
    <row r="441" spans="2:9">
      <c r="B441" s="22">
        <v>9280</v>
      </c>
      <c r="C441" s="22">
        <v>1165.52</v>
      </c>
      <c r="D441" s="22">
        <v>2687.41</v>
      </c>
      <c r="E441" s="22">
        <v>5427.07</v>
      </c>
      <c r="F441" s="23"/>
      <c r="G441" s="2" t="b">
        <v>0</v>
      </c>
      <c r="H441" s="2"/>
      <c r="I441" s="1"/>
    </row>
    <row r="442" spans="2:9">
      <c r="B442" s="22">
        <v>9300</v>
      </c>
      <c r="C442" s="22">
        <v>1165.52</v>
      </c>
      <c r="D442" s="22">
        <v>2697.01</v>
      </c>
      <c r="E442" s="22">
        <v>5437.47</v>
      </c>
      <c r="F442" s="23">
        <v>5437.47</v>
      </c>
      <c r="G442" s="2" t="b">
        <v>1</v>
      </c>
      <c r="H442" s="2">
        <v>0</v>
      </c>
      <c r="I442" s="1"/>
    </row>
    <row r="443" spans="2:9">
      <c r="B443" s="22">
        <v>9320</v>
      </c>
      <c r="C443" s="22">
        <v>1165.52</v>
      </c>
      <c r="D443" s="22">
        <v>2706.61</v>
      </c>
      <c r="E443" s="22">
        <v>5447.87</v>
      </c>
      <c r="F443" s="23"/>
      <c r="G443" s="2" t="b">
        <v>0</v>
      </c>
      <c r="H443" s="2"/>
      <c r="I443" s="1"/>
    </row>
    <row r="444" spans="2:9">
      <c r="B444" s="22">
        <v>9340</v>
      </c>
      <c r="C444" s="22">
        <v>1165.52</v>
      </c>
      <c r="D444" s="22">
        <v>2716.21</v>
      </c>
      <c r="E444" s="22">
        <v>5458.27</v>
      </c>
      <c r="F444" s="23"/>
      <c r="G444" s="2" t="b">
        <v>0</v>
      </c>
      <c r="H444" s="2"/>
      <c r="I444" s="1"/>
    </row>
    <row r="445" spans="2:9">
      <c r="B445" s="22">
        <v>9360</v>
      </c>
      <c r="C445" s="22">
        <v>1165.52</v>
      </c>
      <c r="D445" s="22">
        <v>2725.81</v>
      </c>
      <c r="E445" s="22">
        <v>5468.67</v>
      </c>
      <c r="F445" s="23"/>
      <c r="G445" s="2" t="b">
        <v>0</v>
      </c>
      <c r="H445" s="2"/>
      <c r="I445" s="1"/>
    </row>
    <row r="446" spans="2:9">
      <c r="B446" s="22">
        <v>9380</v>
      </c>
      <c r="C446" s="22">
        <v>1165.52</v>
      </c>
      <c r="D446" s="22">
        <v>2735.41</v>
      </c>
      <c r="E446" s="22">
        <v>5479.07</v>
      </c>
      <c r="F446" s="23"/>
      <c r="G446" s="2" t="b">
        <v>0</v>
      </c>
      <c r="H446" s="2"/>
      <c r="I446" s="1"/>
    </row>
    <row r="447" spans="2:9">
      <c r="B447" s="22">
        <v>9400</v>
      </c>
      <c r="C447" s="22">
        <v>1165.52</v>
      </c>
      <c r="D447" s="22">
        <v>2745.01</v>
      </c>
      <c r="E447" s="22">
        <v>5489.47</v>
      </c>
      <c r="F447" s="23">
        <v>5489.47</v>
      </c>
      <c r="G447" s="2" t="b">
        <v>1</v>
      </c>
      <c r="H447" s="2">
        <v>0</v>
      </c>
      <c r="I447" s="1"/>
    </row>
    <row r="448" spans="2:9">
      <c r="B448" s="22">
        <v>9420</v>
      </c>
      <c r="C448" s="22">
        <v>1165.52</v>
      </c>
      <c r="D448" s="22">
        <v>2754.61</v>
      </c>
      <c r="E448" s="22">
        <v>5499.87</v>
      </c>
      <c r="F448" s="23"/>
      <c r="G448" s="2" t="b">
        <v>0</v>
      </c>
      <c r="H448" s="2"/>
      <c r="I448" s="1"/>
    </row>
    <row r="449" spans="2:9">
      <c r="B449" s="22">
        <v>9440</v>
      </c>
      <c r="C449" s="22">
        <v>1165.52</v>
      </c>
      <c r="D449" s="22">
        <v>2764.21</v>
      </c>
      <c r="E449" s="22">
        <v>5510.27</v>
      </c>
      <c r="F449" s="23"/>
      <c r="G449" s="2" t="b">
        <v>0</v>
      </c>
      <c r="H449" s="2"/>
      <c r="I449" s="1"/>
    </row>
    <row r="450" spans="2:9">
      <c r="B450" s="22">
        <v>9460</v>
      </c>
      <c r="C450" s="22">
        <v>1165.52</v>
      </c>
      <c r="D450" s="22">
        <v>2773.81</v>
      </c>
      <c r="E450" s="22">
        <v>5520.67</v>
      </c>
      <c r="F450" s="23"/>
      <c r="G450" s="2" t="b">
        <v>0</v>
      </c>
      <c r="H450" s="2"/>
      <c r="I450" s="1"/>
    </row>
    <row r="451" spans="2:9">
      <c r="B451" s="22">
        <v>9480</v>
      </c>
      <c r="C451" s="22">
        <v>1165.52</v>
      </c>
      <c r="D451" s="22">
        <v>2783.41</v>
      </c>
      <c r="E451" s="22">
        <v>5531.07</v>
      </c>
      <c r="F451" s="23"/>
      <c r="G451" s="2" t="b">
        <v>0</v>
      </c>
      <c r="H451" s="2"/>
      <c r="I451" s="1"/>
    </row>
    <row r="452" spans="2:9">
      <c r="B452" s="22">
        <v>9500</v>
      </c>
      <c r="C452" s="22">
        <v>1165.52</v>
      </c>
      <c r="D452" s="22">
        <v>2793.01</v>
      </c>
      <c r="E452" s="22">
        <v>5541.47</v>
      </c>
      <c r="F452" s="23">
        <v>5541.47</v>
      </c>
      <c r="G452" s="2" t="b">
        <v>1</v>
      </c>
      <c r="H452" s="2">
        <v>0</v>
      </c>
      <c r="I452" s="1"/>
    </row>
    <row r="453" spans="2:9">
      <c r="B453" s="22">
        <v>9520</v>
      </c>
      <c r="C453" s="22">
        <v>1165.52</v>
      </c>
      <c r="D453" s="22">
        <v>2802.61</v>
      </c>
      <c r="E453" s="22">
        <v>5551.87</v>
      </c>
      <c r="F453" s="23"/>
      <c r="G453" s="2" t="b">
        <v>0</v>
      </c>
      <c r="H453" s="2"/>
      <c r="I453" s="1"/>
    </row>
    <row r="454" spans="2:9">
      <c r="B454" s="22">
        <v>9540</v>
      </c>
      <c r="C454" s="22">
        <v>1165.52</v>
      </c>
      <c r="D454" s="22">
        <v>2812.21</v>
      </c>
      <c r="E454" s="22">
        <v>5562.27</v>
      </c>
      <c r="F454" s="23"/>
      <c r="G454" s="2" t="b">
        <v>0</v>
      </c>
      <c r="H454" s="2"/>
      <c r="I454" s="1"/>
    </row>
    <row r="455" spans="2:9">
      <c r="B455" s="22">
        <v>9560</v>
      </c>
      <c r="C455" s="22">
        <v>1165.52</v>
      </c>
      <c r="D455" s="22">
        <v>2821.81</v>
      </c>
      <c r="E455" s="22">
        <v>5572.67</v>
      </c>
      <c r="F455" s="23"/>
      <c r="G455" s="2" t="b">
        <v>0</v>
      </c>
      <c r="H455" s="2"/>
      <c r="I455" s="1"/>
    </row>
    <row r="456" spans="2:9">
      <c r="B456" s="22">
        <v>9580</v>
      </c>
      <c r="C456" s="22">
        <v>1165.52</v>
      </c>
      <c r="D456" s="22">
        <v>2831.41</v>
      </c>
      <c r="E456" s="22">
        <v>5583.07</v>
      </c>
      <c r="F456" s="23"/>
      <c r="G456" s="2" t="b">
        <v>0</v>
      </c>
      <c r="H456" s="2"/>
      <c r="I456" s="1"/>
    </row>
    <row r="457" spans="2:9">
      <c r="B457" s="22">
        <v>9600</v>
      </c>
      <c r="C457" s="22">
        <v>1165.52</v>
      </c>
      <c r="D457" s="22">
        <v>2841.01</v>
      </c>
      <c r="E457" s="22">
        <v>5593.47</v>
      </c>
      <c r="F457" s="23">
        <v>5593.47</v>
      </c>
      <c r="G457" s="2" t="b">
        <v>1</v>
      </c>
      <c r="H457" s="2">
        <v>0</v>
      </c>
      <c r="I457" s="1"/>
    </row>
    <row r="458" spans="2:9">
      <c r="B458" s="22">
        <v>9620</v>
      </c>
      <c r="C458" s="22">
        <v>1165.52</v>
      </c>
      <c r="D458" s="22">
        <v>2850.61</v>
      </c>
      <c r="E458" s="22">
        <v>5603.87</v>
      </c>
      <c r="F458" s="23"/>
      <c r="G458" s="2" t="b">
        <v>0</v>
      </c>
      <c r="H458" s="2"/>
      <c r="I458" s="1"/>
    </row>
    <row r="459" spans="2:9">
      <c r="B459" s="22">
        <v>9640</v>
      </c>
      <c r="C459" s="22">
        <v>1165.52</v>
      </c>
      <c r="D459" s="22">
        <v>2860.21</v>
      </c>
      <c r="E459" s="22">
        <v>5614.27</v>
      </c>
      <c r="F459" s="23"/>
      <c r="G459" s="2" t="b">
        <v>0</v>
      </c>
      <c r="H459" s="2"/>
      <c r="I459" s="1"/>
    </row>
    <row r="460" spans="2:9">
      <c r="B460" s="22">
        <v>9660</v>
      </c>
      <c r="C460" s="22">
        <v>1165.52</v>
      </c>
      <c r="D460" s="22">
        <v>2869.81</v>
      </c>
      <c r="E460" s="22">
        <v>5624.67</v>
      </c>
      <c r="F460" s="23"/>
      <c r="G460" s="2" t="b">
        <v>0</v>
      </c>
      <c r="H460" s="2"/>
      <c r="I460" s="1"/>
    </row>
    <row r="461" spans="2:9">
      <c r="B461" s="22">
        <v>9680</v>
      </c>
      <c r="C461" s="22">
        <v>1165.52</v>
      </c>
      <c r="D461" s="22">
        <v>2879.41</v>
      </c>
      <c r="E461" s="22">
        <v>5635.07</v>
      </c>
      <c r="F461" s="23"/>
      <c r="G461" s="2" t="b">
        <v>0</v>
      </c>
      <c r="H461" s="2"/>
      <c r="I461" s="1"/>
    </row>
    <row r="462" spans="2:9">
      <c r="B462" s="22">
        <v>9700</v>
      </c>
      <c r="C462" s="22">
        <v>1165.52</v>
      </c>
      <c r="D462" s="22">
        <v>2889.01</v>
      </c>
      <c r="E462" s="22">
        <v>5645.47</v>
      </c>
      <c r="F462" s="23">
        <v>5645.47</v>
      </c>
      <c r="G462" s="2" t="b">
        <v>1</v>
      </c>
      <c r="H462" s="2">
        <v>0</v>
      </c>
      <c r="I462" s="1"/>
    </row>
    <row r="463" spans="2:9">
      <c r="B463" s="22">
        <v>9720</v>
      </c>
      <c r="C463" s="22">
        <v>1165.52</v>
      </c>
      <c r="D463" s="22">
        <v>2898.61</v>
      </c>
      <c r="E463" s="22">
        <v>5655.87</v>
      </c>
      <c r="F463" s="23"/>
      <c r="G463" s="2" t="b">
        <v>0</v>
      </c>
      <c r="H463" s="2"/>
      <c r="I463" s="1"/>
    </row>
    <row r="464" spans="2:9">
      <c r="B464" s="22">
        <v>9740</v>
      </c>
      <c r="C464" s="22">
        <v>1165.52</v>
      </c>
      <c r="D464" s="22">
        <v>2908.21</v>
      </c>
      <c r="E464" s="22">
        <v>5666.27</v>
      </c>
      <c r="F464" s="23"/>
      <c r="G464" s="2" t="b">
        <v>0</v>
      </c>
      <c r="H464" s="2"/>
      <c r="I464" s="1"/>
    </row>
    <row r="465" spans="2:9">
      <c r="B465" s="22">
        <v>9760</v>
      </c>
      <c r="C465" s="22">
        <v>1165.52</v>
      </c>
      <c r="D465" s="22">
        <v>2917.81</v>
      </c>
      <c r="E465" s="22">
        <v>5676.67</v>
      </c>
      <c r="F465" s="23"/>
      <c r="G465" s="2" t="b">
        <v>0</v>
      </c>
      <c r="H465" s="2"/>
      <c r="I465" s="1"/>
    </row>
    <row r="466" spans="2:9">
      <c r="B466" s="22">
        <v>9780</v>
      </c>
      <c r="C466" s="22">
        <v>1165.52</v>
      </c>
      <c r="D466" s="22">
        <v>2927.69</v>
      </c>
      <c r="E466" s="22">
        <v>5686.79</v>
      </c>
      <c r="F466" s="23"/>
      <c r="G466" s="2" t="b">
        <v>0</v>
      </c>
      <c r="H466" s="2"/>
      <c r="I466" s="1"/>
    </row>
    <row r="467" spans="2:9">
      <c r="B467" s="22">
        <v>9800</v>
      </c>
      <c r="C467" s="22">
        <v>1165.52</v>
      </c>
      <c r="D467" s="22">
        <v>2937.69</v>
      </c>
      <c r="E467" s="22">
        <v>5696.79</v>
      </c>
      <c r="F467" s="23">
        <v>5696.79</v>
      </c>
      <c r="G467" s="2" t="b">
        <v>1</v>
      </c>
      <c r="H467" s="2">
        <v>0</v>
      </c>
      <c r="I467" s="1"/>
    </row>
    <row r="468" spans="2:9">
      <c r="B468" s="22">
        <v>9820</v>
      </c>
      <c r="C468" s="22">
        <v>1165.52</v>
      </c>
      <c r="D468" s="22">
        <v>2947.69</v>
      </c>
      <c r="E468" s="22">
        <v>5706.79</v>
      </c>
      <c r="F468" s="23"/>
      <c r="G468" s="2" t="b">
        <v>0</v>
      </c>
      <c r="H468" s="2"/>
      <c r="I468" s="1"/>
    </row>
    <row r="469" spans="2:9">
      <c r="B469" s="22">
        <v>9840</v>
      </c>
      <c r="C469" s="22">
        <v>1165.52</v>
      </c>
      <c r="D469" s="22">
        <v>2957.69</v>
      </c>
      <c r="E469" s="22">
        <v>5716.79</v>
      </c>
      <c r="F469" s="23"/>
      <c r="G469" s="2" t="b">
        <v>0</v>
      </c>
      <c r="H469" s="2"/>
      <c r="I469" s="1"/>
    </row>
    <row r="470" spans="2:9">
      <c r="B470" s="22">
        <v>9860</v>
      </c>
      <c r="C470" s="22">
        <v>1165.52</v>
      </c>
      <c r="D470" s="22">
        <v>2967.69</v>
      </c>
      <c r="E470" s="22">
        <v>5726.79</v>
      </c>
      <c r="F470" s="23"/>
      <c r="G470" s="2" t="b">
        <v>0</v>
      </c>
      <c r="H470" s="2"/>
      <c r="I470" s="1"/>
    </row>
    <row r="471" spans="2:9">
      <c r="B471" s="22">
        <v>9880</v>
      </c>
      <c r="C471" s="22">
        <v>1165.52</v>
      </c>
      <c r="D471" s="22">
        <v>2977.69</v>
      </c>
      <c r="E471" s="22">
        <v>5736.79</v>
      </c>
      <c r="F471" s="23"/>
      <c r="G471" s="2" t="b">
        <v>0</v>
      </c>
      <c r="H471" s="2"/>
      <c r="I471" s="1"/>
    </row>
    <row r="472" spans="2:9">
      <c r="B472" s="22">
        <v>9900</v>
      </c>
      <c r="C472" s="22">
        <v>1165.52</v>
      </c>
      <c r="D472" s="22">
        <v>2987.69</v>
      </c>
      <c r="E472" s="22">
        <v>5746.79</v>
      </c>
      <c r="F472" s="23">
        <v>5746.79</v>
      </c>
      <c r="G472" s="2" t="b">
        <v>1</v>
      </c>
      <c r="H472" s="2">
        <v>0</v>
      </c>
      <c r="I472" s="1"/>
    </row>
    <row r="473" spans="2:9">
      <c r="B473" s="22">
        <v>9920</v>
      </c>
      <c r="C473" s="22">
        <v>1165.52</v>
      </c>
      <c r="D473" s="22">
        <v>2997.69</v>
      </c>
      <c r="E473" s="22">
        <v>5756.79</v>
      </c>
      <c r="F473" s="23"/>
      <c r="G473" s="2" t="b">
        <v>0</v>
      </c>
      <c r="H473" s="2"/>
      <c r="I473" s="1"/>
    </row>
    <row r="474" spans="2:9">
      <c r="B474" s="22">
        <v>9940</v>
      </c>
      <c r="C474" s="22">
        <v>1165.52</v>
      </c>
      <c r="D474" s="22">
        <v>3007.69</v>
      </c>
      <c r="E474" s="22">
        <v>5766.79</v>
      </c>
      <c r="F474" s="23"/>
      <c r="G474" s="2" t="b">
        <v>0</v>
      </c>
      <c r="H474" s="2"/>
      <c r="I474" s="1"/>
    </row>
    <row r="475" spans="2:9">
      <c r="B475" s="22">
        <v>9960</v>
      </c>
      <c r="C475" s="22">
        <v>1165.52</v>
      </c>
      <c r="D475" s="22">
        <v>3017.69</v>
      </c>
      <c r="E475" s="22">
        <v>5776.79</v>
      </c>
      <c r="F475" s="23"/>
      <c r="G475" s="2" t="b">
        <v>0</v>
      </c>
      <c r="H475" s="2"/>
      <c r="I475" s="1"/>
    </row>
    <row r="476" spans="2:9">
      <c r="B476" s="22">
        <v>9980</v>
      </c>
      <c r="C476" s="22">
        <v>1165.52</v>
      </c>
      <c r="D476" s="22">
        <v>3027.69</v>
      </c>
      <c r="E476" s="22">
        <v>5786.79</v>
      </c>
      <c r="F476" s="23"/>
      <c r="G476" s="2" t="b">
        <v>0</v>
      </c>
      <c r="H476" s="2"/>
      <c r="I476" s="1"/>
    </row>
    <row r="477" spans="2:9">
      <c r="B477" s="22">
        <v>10000</v>
      </c>
      <c r="C477" s="22">
        <v>1165.52</v>
      </c>
      <c r="D477" s="22">
        <v>3037.69</v>
      </c>
      <c r="E477" s="22">
        <v>5796.79</v>
      </c>
      <c r="F477" s="23">
        <v>5796.79</v>
      </c>
      <c r="G477" s="2" t="b">
        <v>1</v>
      </c>
      <c r="H477" s="2">
        <v>0</v>
      </c>
      <c r="I477" s="1"/>
    </row>
    <row r="478" spans="2:9">
      <c r="B478" s="22">
        <v>10020</v>
      </c>
      <c r="C478" s="22">
        <v>1165.52</v>
      </c>
      <c r="D478" s="22">
        <v>3047.69</v>
      </c>
      <c r="E478" s="22">
        <v>5806.79</v>
      </c>
      <c r="F478" s="23"/>
      <c r="G478" s="2" t="b">
        <v>0</v>
      </c>
      <c r="H478" s="2"/>
      <c r="I478" s="1"/>
    </row>
    <row r="479" spans="2:9">
      <c r="B479" s="22">
        <v>10040</v>
      </c>
      <c r="C479" s="22">
        <v>1165.52</v>
      </c>
      <c r="D479" s="22">
        <v>3057.69</v>
      </c>
      <c r="E479" s="22">
        <v>5816.79</v>
      </c>
      <c r="F479" s="23"/>
      <c r="G479" s="2" t="b">
        <v>0</v>
      </c>
      <c r="H479" s="2"/>
      <c r="I479" s="1"/>
    </row>
    <row r="480" spans="2:9">
      <c r="B480" s="22">
        <v>10060</v>
      </c>
      <c r="C480" s="22">
        <v>1165.52</v>
      </c>
      <c r="D480" s="22">
        <v>3067.69</v>
      </c>
      <c r="E480" s="22">
        <v>5826.79</v>
      </c>
      <c r="F480" s="23"/>
      <c r="G480" s="2" t="b">
        <v>0</v>
      </c>
      <c r="H480" s="2"/>
      <c r="I480" s="1"/>
    </row>
    <row r="481" spans="2:9">
      <c r="B481" s="22">
        <v>10080</v>
      </c>
      <c r="C481" s="22">
        <v>1165.52</v>
      </c>
      <c r="D481" s="22">
        <v>3077.69</v>
      </c>
      <c r="E481" s="22">
        <v>5836.79</v>
      </c>
      <c r="F481" s="23"/>
      <c r="G481" s="2" t="b">
        <v>0</v>
      </c>
      <c r="H481" s="2"/>
      <c r="I481" s="1"/>
    </row>
    <row r="482" spans="2:9">
      <c r="B482" s="22">
        <v>10100</v>
      </c>
      <c r="C482" s="22">
        <v>1165.52</v>
      </c>
      <c r="D482" s="22">
        <v>3087.69</v>
      </c>
      <c r="E482" s="22">
        <v>5846.79</v>
      </c>
      <c r="F482" s="23">
        <v>5846.79</v>
      </c>
      <c r="G482" s="2" t="b">
        <v>1</v>
      </c>
      <c r="H482" s="2">
        <v>0</v>
      </c>
      <c r="I482" s="1"/>
    </row>
    <row r="483" spans="2:9">
      <c r="B483" s="22">
        <v>10120</v>
      </c>
      <c r="C483" s="22">
        <v>1165.52</v>
      </c>
      <c r="D483" s="22">
        <v>3097.69</v>
      </c>
      <c r="E483" s="22">
        <v>5856.79</v>
      </c>
      <c r="F483" s="23"/>
      <c r="G483" s="2" t="b">
        <v>0</v>
      </c>
      <c r="H483" s="2"/>
      <c r="I483" s="1"/>
    </row>
    <row r="484" spans="2:9">
      <c r="B484" s="22">
        <v>10140</v>
      </c>
      <c r="C484" s="22">
        <v>1165.52</v>
      </c>
      <c r="D484" s="22">
        <v>3107.69</v>
      </c>
      <c r="E484" s="22">
        <v>5866.79</v>
      </c>
      <c r="F484" s="23"/>
      <c r="G484" s="2" t="b">
        <v>0</v>
      </c>
      <c r="H484" s="2"/>
      <c r="I484" s="1"/>
    </row>
    <row r="485" spans="2:9">
      <c r="B485" s="22">
        <v>10160</v>
      </c>
      <c r="C485" s="22">
        <v>1165.52</v>
      </c>
      <c r="D485" s="22">
        <v>3117.69</v>
      </c>
      <c r="E485" s="22">
        <v>5876.79</v>
      </c>
      <c r="F485" s="23"/>
      <c r="G485" s="2" t="b">
        <v>0</v>
      </c>
      <c r="H485" s="2"/>
      <c r="I485" s="1"/>
    </row>
    <row r="486" spans="2:9">
      <c r="B486" s="22">
        <v>10180</v>
      </c>
      <c r="C486" s="22">
        <v>1165.52</v>
      </c>
      <c r="D486" s="22">
        <v>3127.69</v>
      </c>
      <c r="E486" s="22">
        <v>5886.79</v>
      </c>
      <c r="F486" s="23"/>
      <c r="G486" s="2" t="b">
        <v>0</v>
      </c>
      <c r="H486" s="2"/>
      <c r="I486" s="1"/>
    </row>
    <row r="487" spans="2:9">
      <c r="B487" s="22">
        <v>10200</v>
      </c>
      <c r="C487" s="22">
        <v>1165.52</v>
      </c>
      <c r="D487" s="22">
        <v>3137.69</v>
      </c>
      <c r="E487" s="22">
        <v>5896.79</v>
      </c>
      <c r="F487" s="23">
        <v>5896.79</v>
      </c>
      <c r="G487" s="2" t="b">
        <v>1</v>
      </c>
      <c r="H487" s="2">
        <v>0</v>
      </c>
      <c r="I487" s="1"/>
    </row>
    <row r="488" spans="2:9">
      <c r="B488" s="22">
        <v>10220</v>
      </c>
      <c r="C488" s="22">
        <v>1165.52</v>
      </c>
      <c r="D488" s="22">
        <v>3147.69</v>
      </c>
      <c r="E488" s="22">
        <v>5906.79</v>
      </c>
      <c r="F488" s="23"/>
      <c r="G488" s="2" t="b">
        <v>0</v>
      </c>
      <c r="H488" s="2"/>
      <c r="I488" s="1"/>
    </row>
    <row r="489" spans="2:9">
      <c r="B489" s="22">
        <v>10240</v>
      </c>
      <c r="C489" s="22">
        <v>1165.52</v>
      </c>
      <c r="D489" s="22">
        <v>3157.69</v>
      </c>
      <c r="E489" s="22">
        <v>5916.79</v>
      </c>
      <c r="F489" s="23"/>
      <c r="G489" s="2" t="b">
        <v>0</v>
      </c>
      <c r="H489" s="2"/>
      <c r="I489" s="1"/>
    </row>
    <row r="490" spans="2:9">
      <c r="B490" s="22">
        <v>10260</v>
      </c>
      <c r="C490" s="22">
        <v>1165.52</v>
      </c>
      <c r="D490" s="22">
        <v>3167.69</v>
      </c>
      <c r="E490" s="22">
        <v>5926.79</v>
      </c>
      <c r="F490" s="23"/>
      <c r="G490" s="2" t="b">
        <v>0</v>
      </c>
      <c r="H490" s="2"/>
      <c r="I490" s="1"/>
    </row>
    <row r="491" spans="2:9">
      <c r="B491" s="22">
        <v>10280</v>
      </c>
      <c r="C491" s="22">
        <v>1165.52</v>
      </c>
      <c r="D491" s="22">
        <v>3177.69</v>
      </c>
      <c r="E491" s="22">
        <v>5936.79</v>
      </c>
      <c r="F491" s="23"/>
      <c r="G491" s="2" t="b">
        <v>0</v>
      </c>
      <c r="H491" s="2"/>
      <c r="I491" s="1"/>
    </row>
    <row r="492" spans="2:9">
      <c r="B492" s="22">
        <v>10300</v>
      </c>
      <c r="C492" s="22">
        <v>1165.52</v>
      </c>
      <c r="D492" s="22">
        <v>3187.69</v>
      </c>
      <c r="E492" s="22">
        <v>5946.79</v>
      </c>
      <c r="F492" s="23">
        <v>5946.79</v>
      </c>
      <c r="G492" s="2" t="b">
        <v>1</v>
      </c>
      <c r="H492" s="2">
        <v>0</v>
      </c>
      <c r="I492" s="1"/>
    </row>
    <row r="493" spans="2:9">
      <c r="B493" s="22">
        <v>10320</v>
      </c>
      <c r="C493" s="22">
        <v>1165.52</v>
      </c>
      <c r="D493" s="22">
        <v>3197.69</v>
      </c>
      <c r="E493" s="22">
        <v>5956.79</v>
      </c>
      <c r="F493" s="23"/>
      <c r="G493" s="2" t="b">
        <v>0</v>
      </c>
      <c r="H493" s="2"/>
      <c r="I493" s="1"/>
    </row>
    <row r="494" spans="2:9">
      <c r="B494" s="22">
        <v>10340</v>
      </c>
      <c r="C494" s="22">
        <v>1165.52</v>
      </c>
      <c r="D494" s="22">
        <v>3207.69</v>
      </c>
      <c r="E494" s="22">
        <v>5966.79</v>
      </c>
      <c r="F494" s="23"/>
      <c r="G494" s="2" t="b">
        <v>0</v>
      </c>
      <c r="H494" s="2"/>
      <c r="I494" s="1"/>
    </row>
    <row r="495" spans="2:9">
      <c r="B495" s="22">
        <v>10360</v>
      </c>
      <c r="C495" s="22">
        <v>1165.52</v>
      </c>
      <c r="D495" s="22">
        <v>3217.69</v>
      </c>
      <c r="E495" s="22">
        <v>5976.79</v>
      </c>
      <c r="F495" s="23"/>
      <c r="G495" s="2" t="b">
        <v>0</v>
      </c>
      <c r="H495" s="2"/>
      <c r="I495" s="1"/>
    </row>
    <row r="496" spans="2:9">
      <c r="B496" s="22">
        <v>10380</v>
      </c>
      <c r="C496" s="22">
        <v>1165.52</v>
      </c>
      <c r="D496" s="22">
        <v>3227.69</v>
      </c>
      <c r="E496" s="22">
        <v>5986.79</v>
      </c>
      <c r="F496" s="23"/>
      <c r="G496" s="2" t="b">
        <v>0</v>
      </c>
      <c r="H496" s="2"/>
      <c r="I496" s="1"/>
    </row>
    <row r="497" spans="2:9">
      <c r="B497" s="22">
        <v>10400</v>
      </c>
      <c r="C497" s="22">
        <v>1165.52</v>
      </c>
      <c r="D497" s="22">
        <v>3237.69</v>
      </c>
      <c r="E497" s="22">
        <v>5996.79</v>
      </c>
      <c r="F497" s="23">
        <v>5996.79</v>
      </c>
      <c r="G497" s="2" t="b">
        <v>1</v>
      </c>
      <c r="H497" s="2">
        <v>0</v>
      </c>
      <c r="I497" s="1"/>
    </row>
    <row r="498" spans="2:9">
      <c r="B498" s="22">
        <v>10420</v>
      </c>
      <c r="C498" s="22">
        <v>1165.52</v>
      </c>
      <c r="D498" s="22">
        <v>3247.69</v>
      </c>
      <c r="E498" s="22">
        <v>6006.79</v>
      </c>
      <c r="F498" s="23"/>
      <c r="G498" s="2" t="b">
        <v>0</v>
      </c>
      <c r="H498" s="2"/>
      <c r="I498" s="1"/>
    </row>
    <row r="499" spans="2:9">
      <c r="B499" s="22">
        <v>10440</v>
      </c>
      <c r="C499" s="22">
        <v>1165.52</v>
      </c>
      <c r="D499" s="22">
        <v>3257.69</v>
      </c>
      <c r="E499" s="22">
        <v>6016.79</v>
      </c>
      <c r="F499" s="23"/>
      <c r="G499" s="2" t="b">
        <v>0</v>
      </c>
      <c r="H499" s="2"/>
      <c r="I499" s="1"/>
    </row>
    <row r="500" spans="2:9">
      <c r="B500" s="22">
        <v>10460</v>
      </c>
      <c r="C500" s="22">
        <v>1165.52</v>
      </c>
      <c r="D500" s="22">
        <v>3267.69</v>
      </c>
      <c r="E500" s="22">
        <v>6026.79</v>
      </c>
      <c r="F500" s="23"/>
      <c r="G500" s="2" t="b">
        <v>0</v>
      </c>
      <c r="H500" s="2"/>
      <c r="I500" s="1"/>
    </row>
    <row r="501" spans="2:9">
      <c r="B501" s="22">
        <v>10480</v>
      </c>
      <c r="C501" s="22">
        <v>1165.52</v>
      </c>
      <c r="D501" s="22">
        <v>3277.69</v>
      </c>
      <c r="E501" s="22">
        <v>6036.79</v>
      </c>
      <c r="F501" s="23"/>
      <c r="G501" s="2" t="b">
        <v>0</v>
      </c>
      <c r="H501" s="2"/>
      <c r="I501" s="1"/>
    </row>
    <row r="502" spans="2:9">
      <c r="B502" s="22">
        <v>10500</v>
      </c>
      <c r="C502" s="22">
        <v>1165.52</v>
      </c>
      <c r="D502" s="22">
        <v>3287.69</v>
      </c>
      <c r="E502" s="22">
        <v>6046.79</v>
      </c>
      <c r="F502" s="23">
        <v>6046.79</v>
      </c>
      <c r="G502" s="2" t="b">
        <v>1</v>
      </c>
      <c r="H502" s="2">
        <v>0</v>
      </c>
      <c r="I502" s="1"/>
    </row>
    <row r="503" spans="2:9">
      <c r="B503" s="22">
        <v>10520</v>
      </c>
      <c r="C503" s="22">
        <v>1165.52</v>
      </c>
      <c r="D503" s="22">
        <v>3297.69</v>
      </c>
      <c r="E503" s="22">
        <v>6056.79</v>
      </c>
      <c r="F503" s="23"/>
      <c r="G503" s="2" t="b">
        <v>0</v>
      </c>
      <c r="H503" s="2"/>
      <c r="I503" s="1"/>
    </row>
    <row r="504" spans="2:9">
      <c r="B504" s="22">
        <v>10540</v>
      </c>
      <c r="C504" s="22">
        <v>1165.52</v>
      </c>
      <c r="D504" s="22">
        <v>3307.69</v>
      </c>
      <c r="E504" s="22">
        <v>6066.79</v>
      </c>
      <c r="F504" s="23"/>
      <c r="G504" s="2" t="b">
        <v>0</v>
      </c>
      <c r="H504" s="2"/>
      <c r="I504" s="1"/>
    </row>
    <row r="505" spans="2:9">
      <c r="B505" s="22">
        <v>10560</v>
      </c>
      <c r="C505" s="22">
        <v>1165.52</v>
      </c>
      <c r="D505" s="22">
        <v>3317.69</v>
      </c>
      <c r="E505" s="22">
        <v>6076.79</v>
      </c>
      <c r="F505" s="23"/>
      <c r="G505" s="2" t="b">
        <v>0</v>
      </c>
      <c r="H505" s="2"/>
      <c r="I505" s="1"/>
    </row>
    <row r="506" spans="2:9">
      <c r="B506" s="22">
        <v>10580</v>
      </c>
      <c r="C506" s="22">
        <v>1165.52</v>
      </c>
      <c r="D506" s="22">
        <v>3327.69</v>
      </c>
      <c r="E506" s="22">
        <v>6086.79</v>
      </c>
      <c r="F506" s="23"/>
      <c r="G506" s="2" t="b">
        <v>0</v>
      </c>
      <c r="H506" s="2"/>
      <c r="I506" s="1"/>
    </row>
    <row r="507" spans="2:9">
      <c r="B507" s="22">
        <v>10600</v>
      </c>
      <c r="C507" s="22">
        <v>1165.52</v>
      </c>
      <c r="D507" s="22">
        <v>3337.69</v>
      </c>
      <c r="E507" s="22">
        <v>6096.79</v>
      </c>
      <c r="F507" s="23">
        <v>6096.79</v>
      </c>
      <c r="G507" s="2" t="b">
        <v>1</v>
      </c>
      <c r="H507" s="2">
        <v>0</v>
      </c>
      <c r="I507" s="1"/>
    </row>
    <row r="508" spans="2:9">
      <c r="B508" s="22">
        <v>10620</v>
      </c>
      <c r="C508" s="22">
        <v>1165.52</v>
      </c>
      <c r="D508" s="22">
        <v>3347.69</v>
      </c>
      <c r="E508" s="22">
        <v>6106.79</v>
      </c>
      <c r="F508" s="23"/>
      <c r="G508" s="2" t="b">
        <v>0</v>
      </c>
      <c r="H508" s="2"/>
      <c r="I508" s="1"/>
    </row>
    <row r="509" spans="2:9">
      <c r="B509" s="22">
        <v>10640</v>
      </c>
      <c r="C509" s="22">
        <v>1165.52</v>
      </c>
      <c r="D509" s="22">
        <v>3357.69</v>
      </c>
      <c r="E509" s="22">
        <v>6116.79</v>
      </c>
      <c r="F509" s="23"/>
      <c r="G509" s="2" t="b">
        <v>0</v>
      </c>
      <c r="H509" s="2"/>
      <c r="I509" s="1"/>
    </row>
    <row r="510" spans="2:9">
      <c r="B510" s="22">
        <v>10660</v>
      </c>
      <c r="C510" s="22">
        <v>1165.52</v>
      </c>
      <c r="D510" s="22">
        <v>3367.69</v>
      </c>
      <c r="E510" s="22">
        <v>6126.79</v>
      </c>
      <c r="F510" s="23"/>
      <c r="G510" s="2" t="b">
        <v>0</v>
      </c>
      <c r="H510" s="2"/>
      <c r="I510" s="1"/>
    </row>
    <row r="511" spans="2:9">
      <c r="B511" s="22">
        <v>10680</v>
      </c>
      <c r="C511" s="22">
        <v>1165.52</v>
      </c>
      <c r="D511" s="22">
        <v>3377.69</v>
      </c>
      <c r="E511" s="22">
        <v>6136.79</v>
      </c>
      <c r="F511" s="23"/>
      <c r="G511" s="2" t="b">
        <v>0</v>
      </c>
      <c r="H511" s="2"/>
      <c r="I511" s="1"/>
    </row>
    <row r="512" spans="2:9">
      <c r="B512" s="22">
        <v>10700</v>
      </c>
      <c r="C512" s="22">
        <v>1165.52</v>
      </c>
      <c r="D512" s="22">
        <v>3387.69</v>
      </c>
      <c r="E512" s="22">
        <v>6146.79</v>
      </c>
      <c r="F512" s="23">
        <v>6146.79</v>
      </c>
      <c r="G512" s="2" t="b">
        <v>1</v>
      </c>
      <c r="H512" s="2">
        <v>0</v>
      </c>
      <c r="I512" s="1"/>
    </row>
    <row r="513" spans="2:9">
      <c r="B513" s="22">
        <v>10720</v>
      </c>
      <c r="C513" s="22">
        <v>1165.52</v>
      </c>
      <c r="D513" s="22">
        <v>3397.69</v>
      </c>
      <c r="E513" s="22">
        <v>6156.79</v>
      </c>
      <c r="F513" s="23"/>
      <c r="G513" s="2" t="b">
        <v>0</v>
      </c>
      <c r="H513" s="2"/>
      <c r="I513" s="1"/>
    </row>
    <row r="514" spans="2:9">
      <c r="B514" s="22">
        <v>10740</v>
      </c>
      <c r="C514" s="22">
        <v>1165.52</v>
      </c>
      <c r="D514" s="22">
        <v>3407.69</v>
      </c>
      <c r="E514" s="22">
        <v>6166.79</v>
      </c>
      <c r="F514" s="23"/>
      <c r="G514" s="2" t="b">
        <v>0</v>
      </c>
      <c r="H514" s="2"/>
      <c r="I514" s="1"/>
    </row>
    <row r="515" spans="2:9">
      <c r="B515" s="22">
        <v>10760</v>
      </c>
      <c r="C515" s="22">
        <v>1165.52</v>
      </c>
      <c r="D515" s="22">
        <v>3417.69</v>
      </c>
      <c r="E515" s="22">
        <v>6176.79</v>
      </c>
      <c r="F515" s="23"/>
      <c r="G515" s="2" t="b">
        <v>0</v>
      </c>
      <c r="H515" s="2"/>
      <c r="I515" s="1"/>
    </row>
    <row r="516" spans="2:9">
      <c r="B516" s="22">
        <v>10780</v>
      </c>
      <c r="C516" s="22">
        <v>1165.52</v>
      </c>
      <c r="D516" s="22">
        <v>3427.69</v>
      </c>
      <c r="E516" s="22">
        <v>6186.79</v>
      </c>
      <c r="F516" s="23"/>
      <c r="G516" s="2" t="b">
        <v>0</v>
      </c>
      <c r="H516" s="2"/>
      <c r="I516" s="1"/>
    </row>
    <row r="517" spans="2:9">
      <c r="B517" s="22">
        <v>10800</v>
      </c>
      <c r="C517" s="22">
        <v>1165.52</v>
      </c>
      <c r="D517" s="22">
        <v>3437.69</v>
      </c>
      <c r="E517" s="22">
        <v>6196.79</v>
      </c>
      <c r="F517" s="23">
        <v>6196.79</v>
      </c>
      <c r="G517" s="2" t="b">
        <v>1</v>
      </c>
      <c r="H517" s="2">
        <v>0</v>
      </c>
      <c r="I517" s="1"/>
    </row>
    <row r="518" spans="2:9">
      <c r="B518" s="22">
        <v>10820</v>
      </c>
      <c r="C518" s="22">
        <v>1165.52</v>
      </c>
      <c r="D518" s="22">
        <v>3447.69</v>
      </c>
      <c r="E518" s="22">
        <v>6206.79</v>
      </c>
      <c r="F518" s="23"/>
      <c r="G518" s="2" t="b">
        <v>0</v>
      </c>
      <c r="H518" s="2"/>
      <c r="I518" s="1"/>
    </row>
    <row r="519" spans="2:9">
      <c r="B519" s="22">
        <v>10840</v>
      </c>
      <c r="C519" s="22">
        <v>1165.52</v>
      </c>
      <c r="D519" s="22">
        <v>3457.69</v>
      </c>
      <c r="E519" s="22">
        <v>6216.79</v>
      </c>
      <c r="F519" s="23"/>
      <c r="G519" s="2" t="b">
        <v>0</v>
      </c>
      <c r="H519" s="2"/>
      <c r="I519" s="1"/>
    </row>
    <row r="520" spans="2:9">
      <c r="B520" s="22">
        <v>10860</v>
      </c>
      <c r="C520" s="22">
        <v>1165.52</v>
      </c>
      <c r="D520" s="22">
        <v>3467.69</v>
      </c>
      <c r="E520" s="22">
        <v>6226.79</v>
      </c>
      <c r="F520" s="23"/>
      <c r="G520" s="2" t="b">
        <v>0</v>
      </c>
      <c r="H520" s="2"/>
      <c r="I520" s="1"/>
    </row>
    <row r="521" spans="2:9">
      <c r="B521" s="22">
        <v>10880</v>
      </c>
      <c r="C521" s="22">
        <v>1165.52</v>
      </c>
      <c r="D521" s="22">
        <v>3477.69</v>
      </c>
      <c r="E521" s="22">
        <v>6236.79</v>
      </c>
      <c r="F521" s="23"/>
      <c r="G521" s="2" t="b">
        <v>0</v>
      </c>
      <c r="H521" s="2"/>
      <c r="I521" s="1"/>
    </row>
    <row r="522" spans="2:9">
      <c r="B522" s="22">
        <v>10900</v>
      </c>
      <c r="C522" s="22">
        <v>1165.52</v>
      </c>
      <c r="D522" s="22">
        <v>3487.69</v>
      </c>
      <c r="E522" s="22">
        <v>6246.79</v>
      </c>
      <c r="F522" s="23">
        <v>6246.79</v>
      </c>
      <c r="G522" s="2" t="b">
        <v>1</v>
      </c>
      <c r="H522" s="2">
        <v>0</v>
      </c>
      <c r="I522" s="1"/>
    </row>
    <row r="523" spans="2:9">
      <c r="B523" s="22">
        <v>10920</v>
      </c>
      <c r="C523" s="22">
        <v>1165.52</v>
      </c>
      <c r="D523" s="22">
        <v>3497.69</v>
      </c>
      <c r="E523" s="22">
        <v>6256.79</v>
      </c>
      <c r="F523" s="23"/>
      <c r="G523" s="2" t="b">
        <v>0</v>
      </c>
      <c r="H523" s="2"/>
      <c r="I523" s="1"/>
    </row>
    <row r="524" spans="2:9">
      <c r="B524" s="22">
        <v>10940</v>
      </c>
      <c r="C524" s="22">
        <v>1165.52</v>
      </c>
      <c r="D524" s="22">
        <v>3507.69</v>
      </c>
      <c r="E524" s="22">
        <v>6266.79</v>
      </c>
      <c r="F524" s="23"/>
      <c r="G524" s="2" t="b">
        <v>0</v>
      </c>
      <c r="H524" s="2"/>
      <c r="I524" s="1"/>
    </row>
    <row r="525" spans="2:9">
      <c r="B525" s="22">
        <v>10960</v>
      </c>
      <c r="C525" s="22">
        <v>1165.52</v>
      </c>
      <c r="D525" s="22">
        <v>3517.69</v>
      </c>
      <c r="E525" s="22">
        <v>6276.79</v>
      </c>
      <c r="F525" s="23"/>
      <c r="G525" s="2" t="b">
        <v>0</v>
      </c>
      <c r="H525" s="2"/>
      <c r="I525" s="1"/>
    </row>
    <row r="526" spans="2:9">
      <c r="B526" s="22">
        <v>10980</v>
      </c>
      <c r="C526" s="22">
        <v>1165.52</v>
      </c>
      <c r="D526" s="22">
        <v>3527.69</v>
      </c>
      <c r="E526" s="22">
        <v>6286.79</v>
      </c>
      <c r="F526" s="23"/>
      <c r="G526" s="2" t="b">
        <v>0</v>
      </c>
      <c r="H526" s="2"/>
      <c r="I526" s="1"/>
    </row>
    <row r="527" spans="2:9">
      <c r="B527" s="22">
        <v>11000</v>
      </c>
      <c r="C527" s="22">
        <v>1165.52</v>
      </c>
      <c r="D527" s="22">
        <v>3537.69</v>
      </c>
      <c r="E527" s="22">
        <v>6296.79</v>
      </c>
      <c r="F527" s="23">
        <v>6296.79</v>
      </c>
      <c r="G527" s="2" t="b">
        <v>1</v>
      </c>
      <c r="H527" s="2">
        <v>0</v>
      </c>
      <c r="I527" s="1"/>
    </row>
    <row r="528" spans="2:9">
      <c r="B528" s="22">
        <v>11020</v>
      </c>
      <c r="C528" s="22">
        <v>1165.52</v>
      </c>
      <c r="D528" s="22">
        <v>3547.69</v>
      </c>
      <c r="E528" s="22">
        <v>6306.79</v>
      </c>
      <c r="F528" s="23"/>
      <c r="G528" s="2" t="b">
        <v>0</v>
      </c>
      <c r="H528" s="2"/>
      <c r="I528" s="1"/>
    </row>
    <row r="529" spans="2:9">
      <c r="B529" s="22">
        <v>11040</v>
      </c>
      <c r="C529" s="22">
        <v>1165.52</v>
      </c>
      <c r="D529" s="22">
        <v>3557.69</v>
      </c>
      <c r="E529" s="22">
        <v>6316.79</v>
      </c>
      <c r="F529" s="23"/>
      <c r="G529" s="2" t="b">
        <v>0</v>
      </c>
      <c r="H529" s="2"/>
      <c r="I529" s="1"/>
    </row>
    <row r="530" spans="2:9">
      <c r="B530" s="22">
        <v>11060</v>
      </c>
      <c r="C530" s="22">
        <v>1165.52</v>
      </c>
      <c r="D530" s="22">
        <v>3567.69</v>
      </c>
      <c r="E530" s="22">
        <v>6326.79</v>
      </c>
      <c r="F530" s="23"/>
      <c r="G530" s="2" t="b">
        <v>0</v>
      </c>
      <c r="H530" s="2"/>
      <c r="I530" s="1"/>
    </row>
    <row r="531" spans="2:9">
      <c r="B531" s="22">
        <v>11080</v>
      </c>
      <c r="C531" s="22">
        <v>1165.52</v>
      </c>
      <c r="D531" s="22">
        <v>3577.69</v>
      </c>
      <c r="E531" s="22">
        <v>6336.79</v>
      </c>
      <c r="F531" s="23"/>
      <c r="G531" s="2" t="b">
        <v>0</v>
      </c>
      <c r="H531" s="2"/>
      <c r="I531" s="1"/>
    </row>
    <row r="532" spans="2:9">
      <c r="B532" s="22">
        <v>11100</v>
      </c>
      <c r="C532" s="22">
        <v>1165.52</v>
      </c>
      <c r="D532" s="22">
        <v>3587.69</v>
      </c>
      <c r="E532" s="22">
        <v>6346.79</v>
      </c>
      <c r="F532" s="23">
        <v>6346.79</v>
      </c>
      <c r="G532" s="2" t="b">
        <v>1</v>
      </c>
      <c r="H532" s="2">
        <v>0</v>
      </c>
      <c r="I532" s="1"/>
    </row>
    <row r="533" spans="2:9">
      <c r="B533" s="22">
        <v>11120</v>
      </c>
      <c r="C533" s="22">
        <v>1165.52</v>
      </c>
      <c r="D533" s="22">
        <v>3597.69</v>
      </c>
      <c r="E533" s="22">
        <v>6356.79</v>
      </c>
      <c r="F533" s="23"/>
      <c r="G533" s="2" t="b">
        <v>0</v>
      </c>
      <c r="H533" s="2"/>
      <c r="I533" s="1"/>
    </row>
    <row r="534" spans="2:9">
      <c r="B534" s="22">
        <v>11140</v>
      </c>
      <c r="C534" s="22">
        <v>1165.52</v>
      </c>
      <c r="D534" s="22">
        <v>3607.69</v>
      </c>
      <c r="E534" s="22">
        <v>6366.79</v>
      </c>
      <c r="F534" s="23"/>
      <c r="G534" s="2" t="b">
        <v>0</v>
      </c>
      <c r="H534" s="2"/>
      <c r="I534" s="1"/>
    </row>
    <row r="535" spans="2:9">
      <c r="B535" s="22">
        <v>11160</v>
      </c>
      <c r="C535" s="22">
        <v>1165.52</v>
      </c>
      <c r="D535" s="22">
        <v>3617.69</v>
      </c>
      <c r="E535" s="22">
        <v>6376.79</v>
      </c>
      <c r="F535" s="23"/>
      <c r="G535" s="2" t="b">
        <v>0</v>
      </c>
      <c r="H535" s="2"/>
      <c r="I535" s="1"/>
    </row>
    <row r="536" spans="2:9">
      <c r="B536" s="22">
        <v>11180</v>
      </c>
      <c r="C536" s="22">
        <v>1165.52</v>
      </c>
      <c r="D536" s="22">
        <v>3627.69</v>
      </c>
      <c r="E536" s="22">
        <v>6386.79</v>
      </c>
      <c r="F536" s="23"/>
      <c r="G536" s="2" t="b">
        <v>0</v>
      </c>
      <c r="H536" s="2"/>
      <c r="I536" s="1"/>
    </row>
    <row r="537" spans="2:9">
      <c r="B537" s="22">
        <v>11200</v>
      </c>
      <c r="C537" s="22">
        <v>1165.52</v>
      </c>
      <c r="D537" s="22">
        <v>3637.69</v>
      </c>
      <c r="E537" s="22">
        <v>6396.79</v>
      </c>
      <c r="F537" s="23">
        <v>6396.79</v>
      </c>
      <c r="G537" s="2" t="b">
        <v>1</v>
      </c>
      <c r="H537" s="2">
        <v>0</v>
      </c>
      <c r="I537" s="1"/>
    </row>
    <row r="538" spans="2:9">
      <c r="B538" s="22">
        <v>11220</v>
      </c>
      <c r="C538" s="22">
        <v>1165.52</v>
      </c>
      <c r="D538" s="22">
        <v>3647.69</v>
      </c>
      <c r="E538" s="22">
        <v>6406.79</v>
      </c>
      <c r="F538" s="23"/>
      <c r="G538" s="2" t="b">
        <v>0</v>
      </c>
      <c r="H538" s="2"/>
      <c r="I538" s="1"/>
    </row>
    <row r="539" spans="2:9">
      <c r="B539" s="22">
        <v>11240</v>
      </c>
      <c r="C539" s="22">
        <v>1165.52</v>
      </c>
      <c r="D539" s="22">
        <v>3657.69</v>
      </c>
      <c r="E539" s="22">
        <v>6416.79</v>
      </c>
      <c r="F539" s="23"/>
      <c r="G539" s="2" t="b">
        <v>0</v>
      </c>
      <c r="H539" s="2"/>
      <c r="I539" s="1"/>
    </row>
    <row r="540" spans="2:9">
      <c r="B540" s="22">
        <v>11260</v>
      </c>
      <c r="C540" s="22">
        <v>1165.52</v>
      </c>
      <c r="D540" s="22">
        <v>3667.69</v>
      </c>
      <c r="E540" s="22">
        <v>6426.79</v>
      </c>
      <c r="F540" s="23"/>
      <c r="G540" s="2" t="b">
        <v>0</v>
      </c>
      <c r="H540" s="2"/>
      <c r="I540" s="1"/>
    </row>
    <row r="541" spans="2:9">
      <c r="B541" s="22">
        <v>11280</v>
      </c>
      <c r="C541" s="22">
        <v>1165.52</v>
      </c>
      <c r="D541" s="22">
        <v>3677.69</v>
      </c>
      <c r="E541" s="22">
        <v>6436.79</v>
      </c>
      <c r="F541" s="23"/>
      <c r="G541" s="2" t="b">
        <v>0</v>
      </c>
      <c r="H541" s="2"/>
      <c r="I541" s="1"/>
    </row>
    <row r="542" spans="2:9">
      <c r="B542" s="22">
        <v>11300</v>
      </c>
      <c r="C542" s="22">
        <v>1165.52</v>
      </c>
      <c r="D542" s="22">
        <v>3687.69</v>
      </c>
      <c r="E542" s="22">
        <v>6446.79</v>
      </c>
      <c r="F542" s="23">
        <v>6446.79</v>
      </c>
      <c r="G542" s="2" t="b">
        <v>1</v>
      </c>
      <c r="H542" s="2">
        <v>0</v>
      </c>
      <c r="I542" s="1"/>
    </row>
    <row r="543" spans="2:9">
      <c r="B543" s="22">
        <v>11320</v>
      </c>
      <c r="C543" s="22">
        <v>1165.52</v>
      </c>
      <c r="D543" s="22">
        <v>3697.69</v>
      </c>
      <c r="E543" s="22">
        <v>6456.79</v>
      </c>
      <c r="F543" s="23"/>
      <c r="G543" s="2" t="b">
        <v>0</v>
      </c>
      <c r="H543" s="2"/>
      <c r="I543" s="1"/>
    </row>
    <row r="544" spans="2:9">
      <c r="B544" s="22">
        <v>11340</v>
      </c>
      <c r="C544" s="22">
        <v>1165.52</v>
      </c>
      <c r="D544" s="22">
        <v>3707.69</v>
      </c>
      <c r="E544" s="22">
        <v>6466.79</v>
      </c>
      <c r="F544" s="23"/>
      <c r="G544" s="2" t="b">
        <v>0</v>
      </c>
      <c r="H544" s="2"/>
      <c r="I544" s="1"/>
    </row>
    <row r="545" spans="2:9">
      <c r="B545" s="22">
        <v>11360</v>
      </c>
      <c r="C545" s="22">
        <v>1165.52</v>
      </c>
      <c r="D545" s="22">
        <v>3717.69</v>
      </c>
      <c r="E545" s="22">
        <v>6476.79</v>
      </c>
      <c r="F545" s="23"/>
      <c r="G545" s="2" t="b">
        <v>0</v>
      </c>
      <c r="H545" s="2"/>
      <c r="I545" s="1"/>
    </row>
    <row r="546" spans="2:9">
      <c r="B546" s="22">
        <v>11380</v>
      </c>
      <c r="C546" s="22">
        <v>1165.52</v>
      </c>
      <c r="D546" s="22">
        <v>3727.69</v>
      </c>
      <c r="E546" s="22">
        <v>6486.79</v>
      </c>
      <c r="F546" s="23"/>
      <c r="G546" s="2" t="b">
        <v>0</v>
      </c>
      <c r="H546" s="2"/>
      <c r="I546" s="1"/>
    </row>
    <row r="547" spans="2:9">
      <c r="B547" s="22">
        <v>11400</v>
      </c>
      <c r="C547" s="22">
        <v>1165.52</v>
      </c>
      <c r="D547" s="22">
        <v>3737.69</v>
      </c>
      <c r="E547" s="22">
        <v>6496.79</v>
      </c>
      <c r="F547" s="23">
        <v>6496.79</v>
      </c>
      <c r="G547" s="2" t="b">
        <v>1</v>
      </c>
      <c r="H547" s="2">
        <v>0</v>
      </c>
      <c r="I547" s="1"/>
    </row>
    <row r="548" spans="2:9">
      <c r="B548" s="22">
        <v>11420</v>
      </c>
      <c r="C548" s="22">
        <v>1165.52</v>
      </c>
      <c r="D548" s="22">
        <v>3747.69</v>
      </c>
      <c r="E548" s="22">
        <v>6506.79</v>
      </c>
      <c r="F548" s="23"/>
      <c r="G548" s="2" t="b">
        <v>0</v>
      </c>
      <c r="H548" s="2"/>
      <c r="I548" s="1"/>
    </row>
    <row r="549" spans="2:9">
      <c r="B549" s="22">
        <v>11440</v>
      </c>
      <c r="C549" s="22">
        <v>1165.52</v>
      </c>
      <c r="D549" s="22">
        <v>3757.69</v>
      </c>
      <c r="E549" s="22">
        <v>6516.79</v>
      </c>
      <c r="F549" s="23"/>
      <c r="G549" s="2" t="b">
        <v>0</v>
      </c>
      <c r="H549" s="2"/>
      <c r="I549" s="1"/>
    </row>
    <row r="550" spans="2:9">
      <c r="B550" s="22">
        <v>11460</v>
      </c>
      <c r="C550" s="22">
        <v>1165.52</v>
      </c>
      <c r="D550" s="22">
        <v>3767.69</v>
      </c>
      <c r="E550" s="22">
        <v>6526.79</v>
      </c>
      <c r="F550" s="23"/>
      <c r="G550" s="2" t="b">
        <v>0</v>
      </c>
      <c r="H550" s="2"/>
      <c r="I550" s="1"/>
    </row>
    <row r="551" spans="2:9">
      <c r="B551" s="22">
        <v>11480</v>
      </c>
      <c r="C551" s="22">
        <v>1165.52</v>
      </c>
      <c r="D551" s="22">
        <v>3777.69</v>
      </c>
      <c r="E551" s="22">
        <v>6536.79</v>
      </c>
      <c r="F551" s="23"/>
      <c r="G551" s="2" t="b">
        <v>0</v>
      </c>
      <c r="H551" s="2"/>
      <c r="I551" s="1"/>
    </row>
    <row r="552" spans="2:9">
      <c r="B552" s="22">
        <v>11500</v>
      </c>
      <c r="C552" s="22">
        <v>1165.52</v>
      </c>
      <c r="D552" s="22">
        <v>3787.69</v>
      </c>
      <c r="E552" s="22">
        <v>6546.79</v>
      </c>
      <c r="F552" s="23">
        <v>6546.79</v>
      </c>
      <c r="G552" s="2" t="b">
        <v>1</v>
      </c>
      <c r="H552" s="2">
        <v>0</v>
      </c>
      <c r="I552" s="1"/>
    </row>
    <row r="553" spans="2:9">
      <c r="B553" s="22">
        <v>11520</v>
      </c>
      <c r="C553" s="22">
        <v>1165.52</v>
      </c>
      <c r="D553" s="22">
        <v>3797.69</v>
      </c>
      <c r="E553" s="22">
        <v>6556.79</v>
      </c>
      <c r="F553" s="23"/>
      <c r="G553" s="2" t="b">
        <v>0</v>
      </c>
      <c r="H553" s="2"/>
      <c r="I553" s="1"/>
    </row>
    <row r="554" spans="2:9">
      <c r="B554" s="22">
        <v>11540</v>
      </c>
      <c r="C554" s="22">
        <v>1165.52</v>
      </c>
      <c r="D554" s="22">
        <v>3807.69</v>
      </c>
      <c r="E554" s="22">
        <v>6566.79</v>
      </c>
      <c r="F554" s="23"/>
      <c r="G554" s="2" t="b">
        <v>0</v>
      </c>
      <c r="H554" s="2"/>
      <c r="I554" s="1"/>
    </row>
    <row r="555" spans="2:9">
      <c r="B555" s="22">
        <v>11560</v>
      </c>
      <c r="C555" s="22">
        <v>1165.52</v>
      </c>
      <c r="D555" s="22">
        <v>3817.69</v>
      </c>
      <c r="E555" s="22">
        <v>6576.79</v>
      </c>
      <c r="F555" s="23"/>
      <c r="G555" s="2" t="b">
        <v>0</v>
      </c>
      <c r="H555" s="2"/>
      <c r="I555" s="1"/>
    </row>
    <row r="556" spans="2:9">
      <c r="B556" s="22">
        <v>11580</v>
      </c>
      <c r="C556" s="22">
        <v>1165.52</v>
      </c>
      <c r="D556" s="22">
        <v>3827.69</v>
      </c>
      <c r="E556" s="22">
        <v>6586.79</v>
      </c>
      <c r="F556" s="23"/>
      <c r="G556" s="2" t="b">
        <v>0</v>
      </c>
      <c r="H556" s="2"/>
      <c r="I556" s="1"/>
    </row>
    <row r="557" spans="2:9">
      <c r="B557" s="22">
        <v>11600</v>
      </c>
      <c r="C557" s="22">
        <v>1165.52</v>
      </c>
      <c r="D557" s="22">
        <v>3837.69</v>
      </c>
      <c r="E557" s="22">
        <v>6596.79</v>
      </c>
      <c r="F557" s="23">
        <v>6596.79</v>
      </c>
      <c r="G557" s="2" t="b">
        <v>1</v>
      </c>
      <c r="H557" s="2">
        <v>0</v>
      </c>
      <c r="I557" s="1"/>
    </row>
    <row r="558" spans="2:9">
      <c r="B558" s="22">
        <v>11620</v>
      </c>
      <c r="C558" s="22">
        <v>1165.52</v>
      </c>
      <c r="D558" s="22">
        <v>3847.69</v>
      </c>
      <c r="E558" s="22">
        <v>6606.79</v>
      </c>
      <c r="F558" s="23"/>
      <c r="G558" s="2" t="b">
        <v>0</v>
      </c>
      <c r="H558" s="2"/>
      <c r="I558" s="1"/>
    </row>
    <row r="559" spans="2:9">
      <c r="B559" s="22">
        <v>11640</v>
      </c>
      <c r="C559" s="22">
        <v>1165.52</v>
      </c>
      <c r="D559" s="22">
        <v>3857.69</v>
      </c>
      <c r="E559" s="22">
        <v>6616.79</v>
      </c>
      <c r="F559" s="23"/>
      <c r="G559" s="2" t="b">
        <v>0</v>
      </c>
      <c r="H559" s="2"/>
      <c r="I559" s="1"/>
    </row>
    <row r="560" spans="2:9">
      <c r="B560" s="22">
        <v>11660</v>
      </c>
      <c r="C560" s="22">
        <v>1165.52</v>
      </c>
      <c r="D560" s="22">
        <v>3867.69</v>
      </c>
      <c r="E560" s="22">
        <v>6626.79</v>
      </c>
      <c r="F560" s="23"/>
      <c r="G560" s="2" t="b">
        <v>0</v>
      </c>
      <c r="H560" s="2"/>
      <c r="I560" s="1"/>
    </row>
    <row r="561" spans="2:9">
      <c r="B561" s="22">
        <v>11680</v>
      </c>
      <c r="C561" s="22">
        <v>1165.52</v>
      </c>
      <c r="D561" s="22">
        <v>3877.69</v>
      </c>
      <c r="E561" s="22">
        <v>6636.79</v>
      </c>
      <c r="F561" s="23"/>
      <c r="G561" s="2" t="b">
        <v>0</v>
      </c>
      <c r="H561" s="2"/>
      <c r="I561" s="1"/>
    </row>
    <row r="562" spans="2:9">
      <c r="B562" s="22">
        <v>11700</v>
      </c>
      <c r="C562" s="22">
        <v>1165.52</v>
      </c>
      <c r="D562" s="22">
        <v>3887.69</v>
      </c>
      <c r="E562" s="22">
        <v>6646.79</v>
      </c>
      <c r="F562" s="23">
        <v>6646.79</v>
      </c>
      <c r="G562" s="2" t="b">
        <v>1</v>
      </c>
      <c r="H562" s="2">
        <v>0</v>
      </c>
      <c r="I562" s="1"/>
    </row>
    <row r="563" spans="2:9">
      <c r="B563" s="22">
        <v>11720</v>
      </c>
      <c r="C563" s="22">
        <v>1165.52</v>
      </c>
      <c r="D563" s="22">
        <v>3897.69</v>
      </c>
      <c r="E563" s="22">
        <v>6656.79</v>
      </c>
      <c r="F563" s="23"/>
      <c r="G563" s="2" t="b">
        <v>0</v>
      </c>
      <c r="H563" s="2"/>
      <c r="I563" s="1"/>
    </row>
    <row r="564" spans="2:9">
      <c r="B564" s="22">
        <v>11740</v>
      </c>
      <c r="C564" s="22">
        <v>1165.52</v>
      </c>
      <c r="D564" s="22">
        <v>3907.69</v>
      </c>
      <c r="E564" s="22">
        <v>6666.79</v>
      </c>
      <c r="F564" s="23"/>
      <c r="G564" s="2" t="b">
        <v>0</v>
      </c>
      <c r="H564" s="2"/>
      <c r="I564" s="1"/>
    </row>
    <row r="565" spans="2:9">
      <c r="B565" s="22">
        <v>11760</v>
      </c>
      <c r="C565" s="22">
        <v>1165.52</v>
      </c>
      <c r="D565" s="22">
        <v>3917.69</v>
      </c>
      <c r="E565" s="22">
        <v>6676.79</v>
      </c>
      <c r="F565" s="23"/>
      <c r="G565" s="2" t="b">
        <v>0</v>
      </c>
      <c r="H565" s="2"/>
      <c r="I565" s="1"/>
    </row>
    <row r="566" spans="2:9">
      <c r="B566" s="22">
        <v>11780</v>
      </c>
      <c r="C566" s="22">
        <v>1165.52</v>
      </c>
      <c r="D566" s="22">
        <v>3927.69</v>
      </c>
      <c r="E566" s="22">
        <v>6686.79</v>
      </c>
      <c r="F566" s="23"/>
      <c r="G566" s="2" t="b">
        <v>0</v>
      </c>
      <c r="H566" s="2"/>
      <c r="I566" s="1"/>
    </row>
    <row r="567" spans="2:9">
      <c r="B567" s="22">
        <v>11800</v>
      </c>
      <c r="C567" s="22">
        <v>1165.52</v>
      </c>
      <c r="D567" s="22">
        <v>3937.69</v>
      </c>
      <c r="E567" s="22">
        <v>6696.79</v>
      </c>
      <c r="F567" s="23">
        <v>6696.79</v>
      </c>
      <c r="G567" s="2" t="b">
        <v>1</v>
      </c>
      <c r="H567" s="2">
        <v>0</v>
      </c>
      <c r="I567" s="1"/>
    </row>
    <row r="568" spans="2:9">
      <c r="B568" s="22">
        <v>11820</v>
      </c>
      <c r="C568" s="22">
        <v>1165.52</v>
      </c>
      <c r="D568" s="22">
        <v>3947.69</v>
      </c>
      <c r="E568" s="22">
        <v>6706.79</v>
      </c>
      <c r="F568" s="23"/>
      <c r="G568" s="2" t="b">
        <v>0</v>
      </c>
      <c r="H568" s="2"/>
      <c r="I568" s="1"/>
    </row>
    <row r="569" spans="2:9">
      <c r="B569" s="22">
        <v>11840</v>
      </c>
      <c r="C569" s="22">
        <v>1165.52</v>
      </c>
      <c r="D569" s="22">
        <v>3957.69</v>
      </c>
      <c r="E569" s="22">
        <v>6716.79</v>
      </c>
      <c r="F569" s="23"/>
      <c r="G569" s="2" t="b">
        <v>0</v>
      </c>
      <c r="H569" s="2"/>
      <c r="I569" s="1"/>
    </row>
    <row r="570" spans="2:9">
      <c r="B570" s="22">
        <v>11860</v>
      </c>
      <c r="C570" s="22">
        <v>1165.52</v>
      </c>
      <c r="D570" s="22">
        <v>3967.69</v>
      </c>
      <c r="E570" s="22">
        <v>6726.79</v>
      </c>
      <c r="F570" s="23"/>
      <c r="G570" s="2" t="b">
        <v>0</v>
      </c>
      <c r="H570" s="2"/>
      <c r="I570" s="1"/>
    </row>
    <row r="571" spans="2:9">
      <c r="B571" s="22">
        <v>11880</v>
      </c>
      <c r="C571" s="22">
        <v>1165.52</v>
      </c>
      <c r="D571" s="22">
        <v>3977.69</v>
      </c>
      <c r="E571" s="22">
        <v>6736.79</v>
      </c>
      <c r="F571" s="23"/>
      <c r="G571" s="2" t="b">
        <v>0</v>
      </c>
      <c r="H571" s="2"/>
      <c r="I571" s="1"/>
    </row>
    <row r="572" spans="2:9">
      <c r="B572" s="22">
        <v>11900</v>
      </c>
      <c r="C572" s="22">
        <v>1165.52</v>
      </c>
      <c r="D572" s="22">
        <v>3987.69</v>
      </c>
      <c r="E572" s="22">
        <v>6746.79</v>
      </c>
      <c r="F572" s="23">
        <v>6746.79</v>
      </c>
      <c r="G572" s="2" t="b">
        <v>1</v>
      </c>
      <c r="H572" s="2">
        <v>0</v>
      </c>
      <c r="I572" s="1"/>
    </row>
    <row r="573" spans="2:9">
      <c r="B573" s="22">
        <v>11920</v>
      </c>
      <c r="C573" s="22">
        <v>1165.52</v>
      </c>
      <c r="D573" s="22">
        <v>3997.69</v>
      </c>
      <c r="E573" s="22">
        <v>6756.79</v>
      </c>
      <c r="F573" s="23"/>
      <c r="G573" s="2" t="b">
        <v>0</v>
      </c>
      <c r="H573" s="2"/>
      <c r="I573" s="1"/>
    </row>
  </sheetData>
  <phoneticPr fontId="5" type="noConversion"/>
  <pageMargins left="0.7" right="0.7" top="0.78740157499999996" bottom="0.78740157499999996"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4B6A-48F1-497F-877B-19E3032DED58}">
  <dimension ref="B1:G32"/>
  <sheetViews>
    <sheetView workbookViewId="0">
      <selection activeCell="D31" sqref="D31"/>
    </sheetView>
  </sheetViews>
  <sheetFormatPr baseColWidth="10" defaultRowHeight="15"/>
  <cols>
    <col min="1" max="1" width="11.42578125" style="1"/>
    <col min="2" max="2" width="30.85546875" style="1" bestFit="1" customWidth="1"/>
    <col min="3" max="3" width="11.42578125" style="1"/>
    <col min="4" max="5" width="11.42578125" style="2"/>
    <col min="6" max="6" width="11.42578125" style="1"/>
    <col min="7" max="7" width="14.7109375" style="1" bestFit="1" customWidth="1"/>
    <col min="8" max="16384" width="11.42578125" style="1"/>
  </cols>
  <sheetData>
    <row r="1" spans="2:7" ht="15.75" thickBot="1">
      <c r="B1" s="28" t="s">
        <v>10</v>
      </c>
      <c r="C1" s="29"/>
      <c r="D1" s="29"/>
      <c r="E1" s="29"/>
      <c r="F1" s="29"/>
      <c r="G1" s="30"/>
    </row>
    <row r="2" spans="2:7">
      <c r="B2" s="1" t="s">
        <v>1</v>
      </c>
      <c r="D2" s="2">
        <v>10000</v>
      </c>
    </row>
    <row r="3" spans="2:7">
      <c r="B3" s="1" t="s">
        <v>16</v>
      </c>
      <c r="D3" s="2">
        <f>-D2*E3</f>
        <v>-1707</v>
      </c>
      <c r="E3" s="16">
        <v>0.17069999999999999</v>
      </c>
    </row>
    <row r="4" spans="2:7" ht="15.75" thickBot="1">
      <c r="B4" s="1" t="s">
        <v>2</v>
      </c>
      <c r="D4" s="4">
        <f>SUM(D2:D3)</f>
        <v>8293</v>
      </c>
      <c r="E4" s="5"/>
    </row>
    <row r="5" spans="2:7" ht="15.75" thickTop="1">
      <c r="D5" s="5"/>
      <c r="E5" s="5"/>
    </row>
    <row r="6" spans="2:7">
      <c r="B6" s="7" t="s">
        <v>6</v>
      </c>
      <c r="C6" s="7"/>
      <c r="D6" s="8">
        <v>620</v>
      </c>
      <c r="E6" s="9">
        <v>0</v>
      </c>
      <c r="F6" s="8">
        <f>+E6*D6</f>
        <v>0</v>
      </c>
      <c r="G6" s="7" t="s">
        <v>3</v>
      </c>
    </row>
    <row r="7" spans="2:7">
      <c r="B7" s="7" t="s">
        <v>4</v>
      </c>
      <c r="C7" s="7"/>
      <c r="D7" s="8">
        <f>+D4-D6</f>
        <v>7673</v>
      </c>
      <c r="E7" s="9">
        <v>0.06</v>
      </c>
      <c r="F7" s="8">
        <f>+E7*D7</f>
        <v>460.38</v>
      </c>
      <c r="G7" s="7" t="s">
        <v>5</v>
      </c>
    </row>
    <row r="8" spans="2:7" ht="15.75" thickBot="1">
      <c r="C8" s="6"/>
      <c r="F8" s="13">
        <f>SUM(F6:F7)</f>
        <v>460.38</v>
      </c>
      <c r="G8" s="14" t="s">
        <v>27</v>
      </c>
    </row>
    <row r="9" spans="2:7" ht="15.75" thickTop="1">
      <c r="B9" s="3" t="s">
        <v>8</v>
      </c>
      <c r="D9" s="2">
        <f>-SUM(F6:F7)</f>
        <v>-460.38</v>
      </c>
    </row>
    <row r="10" spans="2:7" ht="15.75" thickBot="1">
      <c r="B10" s="1" t="s">
        <v>7</v>
      </c>
      <c r="D10" s="4">
        <f>+D4+D9</f>
        <v>7832.62</v>
      </c>
      <c r="E10" s="5"/>
    </row>
    <row r="11" spans="2:7" ht="15.75" thickTop="1"/>
    <row r="15" spans="2:7" ht="15.75" thickBot="1"/>
    <row r="16" spans="2:7" ht="15.75" thickBot="1">
      <c r="B16" s="28" t="s">
        <v>11</v>
      </c>
      <c r="C16" s="29"/>
      <c r="D16" s="29"/>
      <c r="E16" s="29"/>
      <c r="F16" s="29"/>
      <c r="G16" s="30"/>
    </row>
    <row r="17" spans="2:7">
      <c r="B17" s="1" t="s">
        <v>1</v>
      </c>
      <c r="D17" s="2">
        <v>10000</v>
      </c>
    </row>
    <row r="19" spans="2:7" ht="30">
      <c r="B19" s="10" t="s">
        <v>12</v>
      </c>
      <c r="C19" s="11"/>
      <c r="D19" s="12">
        <v>12900</v>
      </c>
    </row>
    <row r="20" spans="2:7">
      <c r="B20" s="1" t="s">
        <v>13</v>
      </c>
      <c r="D20" s="2">
        <v>10000</v>
      </c>
    </row>
    <row r="21" spans="2:7">
      <c r="B21" s="1" t="s">
        <v>14</v>
      </c>
      <c r="D21" s="2">
        <f>+D19-D20</f>
        <v>2900</v>
      </c>
    </row>
    <row r="23" spans="2:7">
      <c r="B23" s="1" t="s">
        <v>15</v>
      </c>
      <c r="D23" s="2">
        <f>+D21</f>
        <v>2900</v>
      </c>
    </row>
    <row r="24" spans="2:7">
      <c r="B24" s="1" t="s">
        <v>16</v>
      </c>
      <c r="D24" s="2">
        <f>-E24*D23</f>
        <v>-495.03</v>
      </c>
      <c r="E24" s="15">
        <v>0.17069999999999999</v>
      </c>
    </row>
    <row r="25" spans="2:7">
      <c r="E25" s="15"/>
    </row>
    <row r="26" spans="2:7" ht="15.75" thickBot="1">
      <c r="B26" s="1" t="s">
        <v>2</v>
      </c>
      <c r="D26" s="4">
        <f>+D17+D24</f>
        <v>9504.9699999999993</v>
      </c>
    </row>
    <row r="27" spans="2:7" ht="15.75" thickTop="1"/>
    <row r="28" spans="2:7">
      <c r="B28" s="7" t="s">
        <v>4</v>
      </c>
      <c r="C28" s="7"/>
      <c r="D28" s="8">
        <f>+D26</f>
        <v>9504.9699999999993</v>
      </c>
      <c r="E28" s="9">
        <v>0.06</v>
      </c>
      <c r="F28" s="8">
        <f>+E28*D28</f>
        <v>570.29819999999995</v>
      </c>
      <c r="G28" s="7" t="s">
        <v>5</v>
      </c>
    </row>
    <row r="29" spans="2:7" ht="15.75" thickBot="1">
      <c r="F29" s="13">
        <f>SUM(F28:F28)</f>
        <v>570.29819999999995</v>
      </c>
      <c r="G29" s="14" t="s">
        <v>27</v>
      </c>
    </row>
    <row r="30" spans="2:7" ht="15.75" thickTop="1">
      <c r="B30" s="3" t="s">
        <v>8</v>
      </c>
      <c r="D30" s="2">
        <f>-SUM(F28:F28)</f>
        <v>-570.29819999999995</v>
      </c>
    </row>
    <row r="31" spans="2:7" ht="15.75" thickBot="1">
      <c r="B31" s="1" t="s">
        <v>7</v>
      </c>
      <c r="D31" s="4">
        <f>+D26+D30</f>
        <v>8934.6718000000001</v>
      </c>
    </row>
    <row r="32" spans="2:7" ht="15.75" thickTop="1"/>
  </sheetData>
  <mergeCells count="2">
    <mergeCell ref="B1:G1"/>
    <mergeCell ref="B16:G16"/>
  </mergeCells>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762BF-D3E5-46F9-B87E-C504423A7CCA}">
  <dimension ref="B1:G32"/>
  <sheetViews>
    <sheetView zoomScaleNormal="100" workbookViewId="0">
      <selection activeCell="D31" sqref="D31"/>
    </sheetView>
  </sheetViews>
  <sheetFormatPr baseColWidth="10" defaultRowHeight="15"/>
  <cols>
    <col min="1" max="1" width="11.42578125" style="1"/>
    <col min="2" max="2" width="30.85546875" style="1" bestFit="1" customWidth="1"/>
    <col min="3" max="3" width="11.42578125" style="1"/>
    <col min="4" max="5" width="11.42578125" style="2"/>
    <col min="6" max="6" width="11.42578125" style="1"/>
    <col min="7" max="7" width="13.28515625" style="1" bestFit="1" customWidth="1"/>
    <col min="8" max="16384" width="11.42578125" style="1"/>
  </cols>
  <sheetData>
    <row r="1" spans="2:7" ht="15.75" thickBot="1">
      <c r="B1" s="28" t="s">
        <v>10</v>
      </c>
      <c r="C1" s="29"/>
      <c r="D1" s="29"/>
      <c r="E1" s="29"/>
      <c r="F1" s="29"/>
      <c r="G1" s="30"/>
    </row>
    <row r="2" spans="2:7">
      <c r="B2" s="1" t="s">
        <v>1</v>
      </c>
      <c r="D2" s="2">
        <v>5000</v>
      </c>
    </row>
    <row r="3" spans="2:7">
      <c r="B3" s="1" t="s">
        <v>16</v>
      </c>
      <c r="D3" s="2">
        <f>-D2*E3</f>
        <v>-853.5</v>
      </c>
      <c r="E3" s="16">
        <v>0.17069999999999999</v>
      </c>
    </row>
    <row r="4" spans="2:7" ht="15.75" thickBot="1">
      <c r="B4" s="1" t="s">
        <v>2</v>
      </c>
      <c r="D4" s="4">
        <f>SUM(D2:D3)</f>
        <v>4146.5</v>
      </c>
      <c r="E4" s="5"/>
    </row>
    <row r="5" spans="2:7" ht="15.75" thickTop="1">
      <c r="D5" s="5"/>
      <c r="E5" s="5"/>
    </row>
    <row r="6" spans="2:7">
      <c r="B6" s="7" t="s">
        <v>6</v>
      </c>
      <c r="C6" s="7"/>
      <c r="D6" s="8">
        <v>620</v>
      </c>
      <c r="E6" s="9">
        <v>0</v>
      </c>
      <c r="F6" s="8">
        <f>+E6*D6</f>
        <v>0</v>
      </c>
      <c r="G6" s="7" t="s">
        <v>3</v>
      </c>
    </row>
    <row r="7" spans="2:7">
      <c r="B7" s="7" t="s">
        <v>4</v>
      </c>
      <c r="C7" s="7"/>
      <c r="D7" s="8">
        <f>+D4-D6</f>
        <v>3526.5</v>
      </c>
      <c r="E7" s="9">
        <v>0.06</v>
      </c>
      <c r="F7" s="8">
        <f>+E7*D7</f>
        <v>211.59</v>
      </c>
      <c r="G7" s="7" t="s">
        <v>5</v>
      </c>
    </row>
    <row r="8" spans="2:7" ht="15.75" thickBot="1">
      <c r="C8" s="6"/>
      <c r="F8" s="13">
        <f>SUM(F6:F7)</f>
        <v>211.59</v>
      </c>
      <c r="G8" s="14" t="s">
        <v>9</v>
      </c>
    </row>
    <row r="9" spans="2:7" ht="15.75" thickTop="1">
      <c r="B9" s="3" t="s">
        <v>8</v>
      </c>
      <c r="D9" s="2">
        <f>-SUM(F6:F7)</f>
        <v>-211.59</v>
      </c>
    </row>
    <row r="10" spans="2:7" ht="15.75" thickBot="1">
      <c r="B10" s="1" t="s">
        <v>7</v>
      </c>
      <c r="D10" s="4">
        <f>+D4+D9</f>
        <v>3934.91</v>
      </c>
      <c r="E10" s="5"/>
    </row>
    <row r="11" spans="2:7" ht="15.75" thickTop="1"/>
    <row r="15" spans="2:7" ht="15.75" thickBot="1"/>
    <row r="16" spans="2:7" ht="15.75" thickBot="1">
      <c r="B16" s="28" t="s">
        <v>11</v>
      </c>
      <c r="C16" s="29"/>
      <c r="D16" s="29"/>
      <c r="E16" s="29"/>
      <c r="F16" s="29"/>
      <c r="G16" s="30"/>
    </row>
    <row r="17" spans="2:7">
      <c r="B17" s="1" t="s">
        <v>1</v>
      </c>
      <c r="D17" s="2">
        <v>5000</v>
      </c>
    </row>
    <row r="19" spans="2:7" ht="30">
      <c r="B19" s="10" t="s">
        <v>12</v>
      </c>
      <c r="C19" s="11"/>
      <c r="D19" s="12">
        <v>12900</v>
      </c>
    </row>
    <row r="20" spans="2:7">
      <c r="B20" s="17" t="s">
        <v>13</v>
      </c>
      <c r="D20" s="2">
        <f>+D17</f>
        <v>5000</v>
      </c>
    </row>
    <row r="21" spans="2:7">
      <c r="B21" s="17" t="s">
        <v>14</v>
      </c>
      <c r="D21" s="2">
        <v>5000</v>
      </c>
    </row>
    <row r="23" spans="2:7">
      <c r="B23" s="1" t="s">
        <v>15</v>
      </c>
      <c r="D23" s="2">
        <f>+D21</f>
        <v>5000</v>
      </c>
    </row>
    <row r="24" spans="2:7">
      <c r="B24" s="1" t="s">
        <v>16</v>
      </c>
      <c r="D24" s="2">
        <f>-E24*D23</f>
        <v>-853.5</v>
      </c>
      <c r="E24" s="15">
        <v>0.17069999999999999</v>
      </c>
    </row>
    <row r="25" spans="2:7">
      <c r="E25" s="15"/>
    </row>
    <row r="26" spans="2:7" ht="15.75" thickBot="1">
      <c r="B26" s="1" t="s">
        <v>2</v>
      </c>
      <c r="D26" s="4">
        <f>+D17+D24</f>
        <v>4146.5</v>
      </c>
    </row>
    <row r="27" spans="2:7" ht="15.75" thickTop="1"/>
    <row r="28" spans="2:7">
      <c r="B28" s="7" t="s">
        <v>4</v>
      </c>
      <c r="C28" s="7"/>
      <c r="D28" s="8">
        <f>+D26</f>
        <v>4146.5</v>
      </c>
      <c r="E28" s="9">
        <v>0.06</v>
      </c>
      <c r="F28" s="8">
        <f>+E28*D28</f>
        <v>248.79</v>
      </c>
      <c r="G28" s="7" t="s">
        <v>5</v>
      </c>
    </row>
    <row r="29" spans="2:7" ht="15.75" thickBot="1">
      <c r="F29" s="13">
        <f>SUM(F28:F28)</f>
        <v>248.79</v>
      </c>
      <c r="G29" s="14" t="s">
        <v>9</v>
      </c>
    </row>
    <row r="30" spans="2:7" ht="15.75" thickTop="1">
      <c r="B30" s="3" t="s">
        <v>8</v>
      </c>
      <c r="D30" s="2">
        <f>-SUM(F28:F28)</f>
        <v>-248.79</v>
      </c>
    </row>
    <row r="31" spans="2:7" ht="15.75" thickBot="1">
      <c r="B31" s="1" t="s">
        <v>7</v>
      </c>
      <c r="D31" s="4">
        <f>+D26+D30</f>
        <v>3897.71</v>
      </c>
    </row>
    <row r="32" spans="2:7" ht="15.75" thickTop="1"/>
  </sheetData>
  <mergeCells count="2">
    <mergeCell ref="B1:G1"/>
    <mergeCell ref="B16:G16"/>
  </mergeCells>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1EF8-2D84-4B40-AFA3-117DC0A445B3}">
  <dimension ref="C1:C43"/>
  <sheetViews>
    <sheetView workbookViewId="0">
      <selection activeCell="D31" sqref="D31"/>
    </sheetView>
  </sheetViews>
  <sheetFormatPr baseColWidth="10" defaultRowHeight="15"/>
  <cols>
    <col min="1" max="2" width="11.42578125" style="1"/>
    <col min="3" max="3" width="97.42578125" style="1" bestFit="1" customWidth="1"/>
    <col min="4" max="6" width="11.42578125" style="1"/>
    <col min="7" max="7" width="15.5703125" style="1" bestFit="1" customWidth="1"/>
    <col min="8" max="16384" width="11.42578125" style="1"/>
  </cols>
  <sheetData>
    <row r="1" spans="3:3" ht="15.75" thickBot="1"/>
    <row r="2" spans="3:3" ht="30.75" thickBot="1">
      <c r="C2" s="24" t="s">
        <v>23</v>
      </c>
    </row>
    <row r="10" spans="3:3" ht="15.75" thickBot="1"/>
    <row r="11" spans="3:3" ht="30.75" thickBot="1">
      <c r="C11" s="24" t="s">
        <v>24</v>
      </c>
    </row>
    <row r="21" spans="3:3" ht="15.75" thickBot="1"/>
    <row r="22" spans="3:3" ht="30.75" thickBot="1">
      <c r="C22" s="24" t="s">
        <v>25</v>
      </c>
    </row>
    <row r="42" spans="3:3" ht="15.75" thickBot="1"/>
    <row r="43" spans="3:3" ht="30.75" thickBot="1">
      <c r="C43" s="24" t="s">
        <v>26</v>
      </c>
    </row>
  </sheetData>
  <phoneticPr fontId="5" type="noConversion"/>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B59AE-C77F-4301-8C01-04DCA8DCBBF8}">
  <dimension ref="A1:F5"/>
  <sheetViews>
    <sheetView workbookViewId="0">
      <selection activeCell="D31" sqref="D31"/>
    </sheetView>
  </sheetViews>
  <sheetFormatPr baseColWidth="10" defaultRowHeight="15"/>
  <cols>
    <col min="2" max="2" width="18.42578125" bestFit="1" customWidth="1"/>
    <col min="3" max="3" width="13.42578125" bestFit="1" customWidth="1"/>
    <col min="4" max="4" width="12.28515625" bestFit="1" customWidth="1"/>
    <col min="5" max="5" width="13.28515625" customWidth="1"/>
    <col min="6" max="6" width="12.140625" customWidth="1"/>
  </cols>
  <sheetData>
    <row r="1" spans="1:6">
      <c r="A1" t="s">
        <v>28</v>
      </c>
      <c r="B1" t="s">
        <v>29</v>
      </c>
      <c r="C1" t="s">
        <v>30</v>
      </c>
      <c r="D1" t="s">
        <v>31</v>
      </c>
      <c r="E1" t="s">
        <v>32</v>
      </c>
      <c r="F1" t="s">
        <v>0</v>
      </c>
    </row>
    <row r="2" spans="1:6">
      <c r="A2">
        <v>620</v>
      </c>
      <c r="B2">
        <f>+A2</f>
        <v>620</v>
      </c>
      <c r="C2">
        <v>0</v>
      </c>
      <c r="D2">
        <f>+B2</f>
        <v>620</v>
      </c>
      <c r="E2" s="25">
        <v>0</v>
      </c>
      <c r="F2" t="s">
        <v>33</v>
      </c>
    </row>
    <row r="3" spans="1:6">
      <c r="A3">
        <v>24380</v>
      </c>
      <c r="B3">
        <f>+B2+A3</f>
        <v>25000</v>
      </c>
      <c r="C3">
        <f>+D2+0.01</f>
        <v>620.01</v>
      </c>
      <c r="D3">
        <f>+B3</f>
        <v>25000</v>
      </c>
      <c r="E3" s="25">
        <v>0.06</v>
      </c>
      <c r="F3" t="s">
        <v>34</v>
      </c>
    </row>
    <row r="4" spans="1:6">
      <c r="A4">
        <v>25000</v>
      </c>
      <c r="B4">
        <f t="shared" ref="B4:B5" si="0">+B3+A4</f>
        <v>50000</v>
      </c>
      <c r="C4">
        <f>+D3+0.01</f>
        <v>25000.01</v>
      </c>
      <c r="D4">
        <f t="shared" ref="D4:D5" si="1">+B4</f>
        <v>50000</v>
      </c>
      <c r="E4" s="25">
        <v>0.27</v>
      </c>
      <c r="F4" t="s">
        <v>35</v>
      </c>
    </row>
    <row r="5" spans="1:6">
      <c r="A5">
        <v>33333</v>
      </c>
      <c r="B5">
        <f t="shared" si="0"/>
        <v>83333</v>
      </c>
      <c r="C5">
        <f>+D4+0.01</f>
        <v>50000.01</v>
      </c>
      <c r="D5">
        <f t="shared" si="1"/>
        <v>83333</v>
      </c>
      <c r="E5" s="25">
        <v>0.35749999999999998</v>
      </c>
      <c r="F5" t="s">
        <v>36</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F0A6-C5D2-4F77-A8BB-7651FA6BC371}">
  <dimension ref="A1:F8"/>
  <sheetViews>
    <sheetView workbookViewId="0">
      <selection activeCell="D31" sqref="D31"/>
    </sheetView>
  </sheetViews>
  <sheetFormatPr baseColWidth="10" defaultRowHeight="15"/>
  <cols>
    <col min="1" max="1" width="18.140625" customWidth="1"/>
    <col min="2" max="2" width="17" customWidth="1"/>
    <col min="3" max="3" width="17.85546875" customWidth="1"/>
    <col min="5" max="5" width="22.7109375" customWidth="1"/>
  </cols>
  <sheetData>
    <row r="1" spans="1:6">
      <c r="A1" t="s">
        <v>47</v>
      </c>
      <c r="B1" t="s">
        <v>48</v>
      </c>
      <c r="C1" t="s">
        <v>49</v>
      </c>
      <c r="D1" t="s">
        <v>50</v>
      </c>
      <c r="E1" t="s">
        <v>51</v>
      </c>
      <c r="F1" t="s">
        <v>0</v>
      </c>
    </row>
    <row r="2" spans="1:6">
      <c r="A2">
        <v>0</v>
      </c>
      <c r="B2" s="26">
        <v>1120</v>
      </c>
      <c r="C2">
        <v>0</v>
      </c>
      <c r="D2">
        <v>0</v>
      </c>
      <c r="E2">
        <v>0</v>
      </c>
      <c r="F2" t="s">
        <v>52</v>
      </c>
    </row>
    <row r="3" spans="1:6">
      <c r="A3" s="26">
        <v>1120.01</v>
      </c>
      <c r="B3" s="26">
        <v>1812.42</v>
      </c>
      <c r="C3">
        <v>0.2</v>
      </c>
      <c r="D3">
        <v>224</v>
      </c>
      <c r="E3">
        <v>40.58</v>
      </c>
      <c r="F3" t="s">
        <v>53</v>
      </c>
    </row>
    <row r="4" spans="1:6">
      <c r="A4" s="26">
        <v>1812.43</v>
      </c>
      <c r="B4" s="26">
        <v>2997.33</v>
      </c>
      <c r="C4">
        <v>0.3</v>
      </c>
      <c r="D4">
        <v>405.24</v>
      </c>
      <c r="E4">
        <v>40.58</v>
      </c>
      <c r="F4" t="s">
        <v>54</v>
      </c>
    </row>
    <row r="5" spans="1:6">
      <c r="A5" s="26">
        <v>2997.34</v>
      </c>
      <c r="B5" s="26">
        <v>5774.83</v>
      </c>
      <c r="C5">
        <v>0.4</v>
      </c>
      <c r="D5">
        <v>704.98</v>
      </c>
      <c r="E5">
        <v>40.58</v>
      </c>
      <c r="F5" t="s">
        <v>55</v>
      </c>
    </row>
    <row r="6" spans="1:6">
      <c r="A6" s="26">
        <v>5774.84</v>
      </c>
      <c r="B6" s="26">
        <v>8600.33</v>
      </c>
      <c r="C6">
        <v>0.48</v>
      </c>
      <c r="D6" s="26">
        <v>1166.96</v>
      </c>
      <c r="E6">
        <v>40.58</v>
      </c>
      <c r="F6" t="s">
        <v>56</v>
      </c>
    </row>
    <row r="7" spans="1:6">
      <c r="A7" s="26">
        <v>8600.34</v>
      </c>
      <c r="B7" s="26">
        <v>83344.33</v>
      </c>
      <c r="C7">
        <v>0.5</v>
      </c>
      <c r="D7" s="26">
        <v>1338.97</v>
      </c>
      <c r="E7">
        <v>40.58</v>
      </c>
      <c r="F7" t="s">
        <v>57</v>
      </c>
    </row>
    <row r="8" spans="1:6">
      <c r="A8" s="26">
        <v>83344.34</v>
      </c>
      <c r="B8" s="26">
        <v>1000000000</v>
      </c>
      <c r="C8">
        <v>0.55000000000000004</v>
      </c>
      <c r="D8" s="26">
        <v>5506.19</v>
      </c>
      <c r="E8">
        <v>40.58</v>
      </c>
      <c r="F8" t="s">
        <v>58</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2E397A-F107-48C5-97E4-0C9198EFCA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Übersicht</vt:lpstr>
      <vt:lpstr>PDF Lohntabelle &amp; Netto-Check</vt:lpstr>
      <vt:lpstr>10.000</vt:lpstr>
      <vt:lpstr>5.000</vt:lpstr>
      <vt:lpstr>Zusatzinfos</vt:lpstr>
      <vt:lpstr>tbl_LSt_Sonderbezuege</vt:lpstr>
      <vt:lpstr>tbl_EffektivTarifTabelle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Veljko Karadzic</dc:creator>
  <cp:lastModifiedBy>Veljko Karadzic</cp:lastModifiedBy>
  <dcterms:created xsi:type="dcterms:W3CDTF">2025-10-25T03:38:24Z</dcterms:created>
  <dcterms:modified xsi:type="dcterms:W3CDTF">2025-11-02T06:07:50Z</dcterms:modified>
</cp:coreProperties>
</file>